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tuff\Payroll\Commissio Loads\Product and transaction imports\Manhattan\Template\"/>
    </mc:Choice>
  </mc:AlternateContent>
  <xr:revisionPtr revIDLastSave="0" documentId="13_ncr:1_{D73FDA85-FCE8-4BD2-B109-59DD7C696A84}" xr6:coauthVersionLast="47" xr6:coauthVersionMax="47" xr10:uidLastSave="{00000000-0000-0000-0000-000000000000}"/>
  <bookViews>
    <workbookView xWindow="-29460" yWindow="2004" windowWidth="29268" windowHeight="19092" activeTab="1" xr2:uid="{ABF86E05-2E3F-4D5D-A465-B6FA382E5E0C}"/>
  </bookViews>
  <sheets>
    <sheet name="Transactions" sheetId="3" r:id="rId1"/>
    <sheet name="Policy And Transactions Templat" sheetId="1" r:id="rId2"/>
    <sheet name="lookup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" l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F66" i="1"/>
  <c r="G66" i="1"/>
  <c r="H66" i="1"/>
  <c r="I66" i="1"/>
  <c r="J66" i="1"/>
  <c r="N66" i="1"/>
  <c r="O66" i="1"/>
  <c r="P66" i="1"/>
  <c r="Q66" i="1"/>
  <c r="R66" i="1"/>
  <c r="S66" i="1"/>
  <c r="V66" i="1"/>
  <c r="F67" i="1"/>
  <c r="G67" i="1"/>
  <c r="H67" i="1"/>
  <c r="I67" i="1"/>
  <c r="J67" i="1"/>
  <c r="N67" i="1"/>
  <c r="O67" i="1"/>
  <c r="P67" i="1"/>
  <c r="Q67" i="1"/>
  <c r="R67" i="1"/>
  <c r="S67" i="1"/>
  <c r="V67" i="1"/>
  <c r="F68" i="1"/>
  <c r="G68" i="1"/>
  <c r="H68" i="1"/>
  <c r="I68" i="1"/>
  <c r="J68" i="1"/>
  <c r="N68" i="1"/>
  <c r="O68" i="1"/>
  <c r="P68" i="1"/>
  <c r="Q68" i="1"/>
  <c r="R68" i="1"/>
  <c r="S68" i="1"/>
  <c r="V68" i="1"/>
  <c r="F69" i="1"/>
  <c r="G69" i="1"/>
  <c r="H69" i="1"/>
  <c r="I69" i="1"/>
  <c r="J69" i="1"/>
  <c r="N69" i="1"/>
  <c r="O69" i="1"/>
  <c r="P69" i="1"/>
  <c r="Q69" i="1"/>
  <c r="R69" i="1"/>
  <c r="S69" i="1"/>
  <c r="V69" i="1"/>
  <c r="F70" i="1"/>
  <c r="G70" i="1"/>
  <c r="H70" i="1"/>
  <c r="I70" i="1"/>
  <c r="J70" i="1"/>
  <c r="N70" i="1"/>
  <c r="O70" i="1"/>
  <c r="P70" i="1"/>
  <c r="Q70" i="1"/>
  <c r="R70" i="1"/>
  <c r="S70" i="1"/>
  <c r="V70" i="1"/>
  <c r="F71" i="1"/>
  <c r="G71" i="1"/>
  <c r="H71" i="1"/>
  <c r="I71" i="1"/>
  <c r="J71" i="1"/>
  <c r="N71" i="1"/>
  <c r="O71" i="1"/>
  <c r="P71" i="1"/>
  <c r="Q71" i="1"/>
  <c r="R71" i="1"/>
  <c r="S71" i="1"/>
  <c r="V71" i="1"/>
  <c r="F72" i="1"/>
  <c r="G72" i="1"/>
  <c r="H72" i="1"/>
  <c r="I72" i="1"/>
  <c r="J72" i="1"/>
  <c r="N72" i="1"/>
  <c r="O72" i="1"/>
  <c r="P72" i="1"/>
  <c r="Q72" i="1"/>
  <c r="R72" i="1"/>
  <c r="S72" i="1"/>
  <c r="V72" i="1"/>
  <c r="F73" i="1"/>
  <c r="G73" i="1"/>
  <c r="H73" i="1"/>
  <c r="I73" i="1"/>
  <c r="J73" i="1"/>
  <c r="N73" i="1"/>
  <c r="O73" i="1"/>
  <c r="P73" i="1"/>
  <c r="Q73" i="1"/>
  <c r="R73" i="1"/>
  <c r="S73" i="1"/>
  <c r="V73" i="1"/>
  <c r="F74" i="1"/>
  <c r="G74" i="1"/>
  <c r="H74" i="1"/>
  <c r="I74" i="1"/>
  <c r="J74" i="1"/>
  <c r="N74" i="1"/>
  <c r="O74" i="1"/>
  <c r="P74" i="1"/>
  <c r="Q74" i="1"/>
  <c r="R74" i="1"/>
  <c r="S74" i="1"/>
  <c r="V74" i="1"/>
  <c r="F75" i="1"/>
  <c r="G75" i="1"/>
  <c r="H75" i="1"/>
  <c r="I75" i="1"/>
  <c r="J75" i="1"/>
  <c r="N75" i="1"/>
  <c r="O75" i="1"/>
  <c r="P75" i="1"/>
  <c r="Q75" i="1"/>
  <c r="R75" i="1"/>
  <c r="S75" i="1"/>
  <c r="V75" i="1"/>
  <c r="A2" i="1"/>
  <c r="C2" i="1"/>
  <c r="F2" i="1"/>
  <c r="G2" i="1"/>
  <c r="H2" i="1"/>
  <c r="I2" i="1"/>
  <c r="J2" i="1"/>
  <c r="N2" i="1"/>
  <c r="O2" i="1"/>
  <c r="P2" i="1"/>
  <c r="Q2" i="1"/>
  <c r="R2" i="1"/>
  <c r="S2" i="1"/>
  <c r="V2" i="1"/>
  <c r="A3" i="1"/>
  <c r="C3" i="1"/>
  <c r="F3" i="1"/>
  <c r="G3" i="1"/>
  <c r="H3" i="1"/>
  <c r="I3" i="1"/>
  <c r="J3" i="1"/>
  <c r="N3" i="1"/>
  <c r="O3" i="1"/>
  <c r="P3" i="1"/>
  <c r="Q3" i="1"/>
  <c r="R3" i="1"/>
  <c r="S3" i="1"/>
  <c r="V3" i="1"/>
  <c r="A4" i="1"/>
  <c r="C4" i="1"/>
  <c r="F4" i="1"/>
  <c r="G4" i="1"/>
  <c r="H4" i="1"/>
  <c r="I4" i="1"/>
  <c r="J4" i="1"/>
  <c r="N4" i="1"/>
  <c r="O4" i="1"/>
  <c r="P4" i="1"/>
  <c r="Q4" i="1"/>
  <c r="R4" i="1"/>
  <c r="S4" i="1"/>
  <c r="V4" i="1"/>
  <c r="A5" i="1"/>
  <c r="C5" i="1"/>
  <c r="F5" i="1"/>
  <c r="G5" i="1"/>
  <c r="H5" i="1"/>
  <c r="I5" i="1"/>
  <c r="J5" i="1"/>
  <c r="N5" i="1"/>
  <c r="O5" i="1"/>
  <c r="P5" i="1"/>
  <c r="Q5" i="1"/>
  <c r="R5" i="1"/>
  <c r="S5" i="1"/>
  <c r="V5" i="1"/>
  <c r="A6" i="1"/>
  <c r="C6" i="1"/>
  <c r="F6" i="1"/>
  <c r="G6" i="1"/>
  <c r="H6" i="1"/>
  <c r="I6" i="1"/>
  <c r="J6" i="1"/>
  <c r="N6" i="1"/>
  <c r="O6" i="1"/>
  <c r="P6" i="1"/>
  <c r="Q6" i="1"/>
  <c r="R6" i="1"/>
  <c r="S6" i="1"/>
  <c r="V6" i="1"/>
  <c r="A7" i="1"/>
  <c r="C7" i="1"/>
  <c r="F7" i="1"/>
  <c r="G7" i="1"/>
  <c r="H7" i="1"/>
  <c r="I7" i="1"/>
  <c r="J7" i="1"/>
  <c r="N7" i="1"/>
  <c r="O7" i="1"/>
  <c r="P7" i="1"/>
  <c r="Q7" i="1"/>
  <c r="R7" i="1"/>
  <c r="S7" i="1"/>
  <c r="V7" i="1"/>
  <c r="A8" i="1"/>
  <c r="C8" i="1"/>
  <c r="F8" i="1"/>
  <c r="G8" i="1"/>
  <c r="H8" i="1"/>
  <c r="I8" i="1"/>
  <c r="J8" i="1"/>
  <c r="N8" i="1"/>
  <c r="O8" i="1"/>
  <c r="P8" i="1"/>
  <c r="Q8" i="1"/>
  <c r="R8" i="1"/>
  <c r="S8" i="1"/>
  <c r="V8" i="1"/>
  <c r="A9" i="1"/>
  <c r="C9" i="1"/>
  <c r="F9" i="1"/>
  <c r="G9" i="1"/>
  <c r="H9" i="1"/>
  <c r="I9" i="1"/>
  <c r="J9" i="1"/>
  <c r="N9" i="1"/>
  <c r="O9" i="1"/>
  <c r="P9" i="1"/>
  <c r="Q9" i="1"/>
  <c r="R9" i="1"/>
  <c r="S9" i="1"/>
  <c r="V9" i="1"/>
  <c r="A10" i="1"/>
  <c r="C10" i="1"/>
  <c r="F10" i="1"/>
  <c r="G10" i="1"/>
  <c r="H10" i="1"/>
  <c r="I10" i="1"/>
  <c r="J10" i="1"/>
  <c r="N10" i="1"/>
  <c r="O10" i="1"/>
  <c r="P10" i="1"/>
  <c r="Q10" i="1"/>
  <c r="R10" i="1"/>
  <c r="S10" i="1"/>
  <c r="V10" i="1"/>
  <c r="A11" i="1"/>
  <c r="C11" i="1"/>
  <c r="F11" i="1"/>
  <c r="G11" i="1"/>
  <c r="H11" i="1"/>
  <c r="I11" i="1"/>
  <c r="J11" i="1"/>
  <c r="N11" i="1"/>
  <c r="O11" i="1"/>
  <c r="P11" i="1"/>
  <c r="Q11" i="1"/>
  <c r="R11" i="1"/>
  <c r="S11" i="1"/>
  <c r="V11" i="1"/>
  <c r="A12" i="1"/>
  <c r="C12" i="1"/>
  <c r="F12" i="1"/>
  <c r="G12" i="1"/>
  <c r="H12" i="1"/>
  <c r="I12" i="1"/>
  <c r="J12" i="1"/>
  <c r="N12" i="1"/>
  <c r="O12" i="1"/>
  <c r="P12" i="1"/>
  <c r="Q12" i="1"/>
  <c r="R12" i="1"/>
  <c r="S12" i="1"/>
  <c r="V12" i="1"/>
  <c r="A13" i="1"/>
  <c r="C13" i="1"/>
  <c r="F13" i="1"/>
  <c r="G13" i="1"/>
  <c r="H13" i="1"/>
  <c r="I13" i="1"/>
  <c r="J13" i="1"/>
  <c r="N13" i="1"/>
  <c r="O13" i="1"/>
  <c r="P13" i="1"/>
  <c r="Q13" i="1"/>
  <c r="R13" i="1"/>
  <c r="S13" i="1"/>
  <c r="V13" i="1"/>
  <c r="A14" i="1"/>
  <c r="C14" i="1"/>
  <c r="F14" i="1"/>
  <c r="G14" i="1"/>
  <c r="H14" i="1"/>
  <c r="I14" i="1"/>
  <c r="J14" i="1"/>
  <c r="N14" i="1"/>
  <c r="O14" i="1"/>
  <c r="P14" i="1"/>
  <c r="Q14" i="1"/>
  <c r="R14" i="1"/>
  <c r="S14" i="1"/>
  <c r="V14" i="1"/>
  <c r="A15" i="1"/>
  <c r="C15" i="1"/>
  <c r="F15" i="1"/>
  <c r="G15" i="1"/>
  <c r="H15" i="1"/>
  <c r="I15" i="1"/>
  <c r="J15" i="1"/>
  <c r="N15" i="1"/>
  <c r="O15" i="1"/>
  <c r="P15" i="1"/>
  <c r="Q15" i="1"/>
  <c r="R15" i="1"/>
  <c r="S15" i="1"/>
  <c r="V15" i="1"/>
  <c r="A16" i="1"/>
  <c r="C16" i="1"/>
  <c r="F16" i="1"/>
  <c r="G16" i="1"/>
  <c r="H16" i="1"/>
  <c r="I16" i="1"/>
  <c r="J16" i="1"/>
  <c r="N16" i="1"/>
  <c r="O16" i="1"/>
  <c r="P16" i="1"/>
  <c r="Q16" i="1"/>
  <c r="R16" i="1"/>
  <c r="S16" i="1"/>
  <c r="V16" i="1"/>
  <c r="A17" i="1"/>
  <c r="C17" i="1"/>
  <c r="F17" i="1"/>
  <c r="G17" i="1"/>
  <c r="H17" i="1"/>
  <c r="I17" i="1"/>
  <c r="J17" i="1"/>
  <c r="N17" i="1"/>
  <c r="O17" i="1"/>
  <c r="P17" i="1"/>
  <c r="Q17" i="1"/>
  <c r="R17" i="1"/>
  <c r="S17" i="1"/>
  <c r="V17" i="1"/>
  <c r="A18" i="1"/>
  <c r="C18" i="1"/>
  <c r="F18" i="1"/>
  <c r="G18" i="1"/>
  <c r="H18" i="1"/>
  <c r="I18" i="1"/>
  <c r="J18" i="1"/>
  <c r="N18" i="1"/>
  <c r="O18" i="1"/>
  <c r="P18" i="1"/>
  <c r="Q18" i="1"/>
  <c r="R18" i="1"/>
  <c r="S18" i="1"/>
  <c r="V18" i="1"/>
  <c r="A19" i="1"/>
  <c r="C19" i="1"/>
  <c r="F19" i="1"/>
  <c r="G19" i="1"/>
  <c r="H19" i="1"/>
  <c r="I19" i="1"/>
  <c r="J19" i="1"/>
  <c r="N19" i="1"/>
  <c r="O19" i="1"/>
  <c r="P19" i="1"/>
  <c r="Q19" i="1"/>
  <c r="R19" i="1"/>
  <c r="S19" i="1"/>
  <c r="V19" i="1"/>
  <c r="A20" i="1"/>
  <c r="C20" i="1"/>
  <c r="F20" i="1"/>
  <c r="G20" i="1"/>
  <c r="H20" i="1"/>
  <c r="I20" i="1"/>
  <c r="J20" i="1"/>
  <c r="N20" i="1"/>
  <c r="O20" i="1"/>
  <c r="P20" i="1"/>
  <c r="Q20" i="1"/>
  <c r="R20" i="1"/>
  <c r="S20" i="1"/>
  <c r="V20" i="1"/>
  <c r="A21" i="1"/>
  <c r="C21" i="1"/>
  <c r="F21" i="1"/>
  <c r="G21" i="1"/>
  <c r="H21" i="1"/>
  <c r="I21" i="1"/>
  <c r="J21" i="1"/>
  <c r="N21" i="1"/>
  <c r="O21" i="1"/>
  <c r="P21" i="1"/>
  <c r="Q21" i="1"/>
  <c r="R21" i="1"/>
  <c r="S21" i="1"/>
  <c r="V21" i="1"/>
  <c r="A22" i="1"/>
  <c r="C22" i="1"/>
  <c r="F22" i="1"/>
  <c r="G22" i="1"/>
  <c r="H22" i="1"/>
  <c r="I22" i="1"/>
  <c r="J22" i="1"/>
  <c r="N22" i="1"/>
  <c r="O22" i="1"/>
  <c r="P22" i="1"/>
  <c r="Q22" i="1"/>
  <c r="R22" i="1"/>
  <c r="S22" i="1"/>
  <c r="V22" i="1"/>
  <c r="A23" i="1"/>
  <c r="C23" i="1"/>
  <c r="F23" i="1"/>
  <c r="G23" i="1"/>
  <c r="H23" i="1"/>
  <c r="I23" i="1"/>
  <c r="J23" i="1"/>
  <c r="N23" i="1"/>
  <c r="O23" i="1"/>
  <c r="P23" i="1"/>
  <c r="Q23" i="1"/>
  <c r="R23" i="1"/>
  <c r="S23" i="1"/>
  <c r="V23" i="1"/>
  <c r="A24" i="1"/>
  <c r="C24" i="1"/>
  <c r="F24" i="1"/>
  <c r="G24" i="1"/>
  <c r="H24" i="1"/>
  <c r="I24" i="1"/>
  <c r="J24" i="1"/>
  <c r="N24" i="1"/>
  <c r="O24" i="1"/>
  <c r="P24" i="1"/>
  <c r="Q24" i="1"/>
  <c r="R24" i="1"/>
  <c r="S24" i="1"/>
  <c r="V24" i="1"/>
  <c r="A25" i="1"/>
  <c r="C25" i="1"/>
  <c r="F25" i="1"/>
  <c r="G25" i="1"/>
  <c r="H25" i="1"/>
  <c r="I25" i="1"/>
  <c r="J25" i="1"/>
  <c r="N25" i="1"/>
  <c r="O25" i="1"/>
  <c r="P25" i="1"/>
  <c r="Q25" i="1"/>
  <c r="R25" i="1"/>
  <c r="S25" i="1"/>
  <c r="V25" i="1"/>
  <c r="A26" i="1"/>
  <c r="C26" i="1"/>
  <c r="F26" i="1"/>
  <c r="G26" i="1"/>
  <c r="H26" i="1"/>
  <c r="I26" i="1"/>
  <c r="J26" i="1"/>
  <c r="N26" i="1"/>
  <c r="O26" i="1"/>
  <c r="P26" i="1"/>
  <c r="Q26" i="1"/>
  <c r="R26" i="1"/>
  <c r="S26" i="1"/>
  <c r="V26" i="1"/>
  <c r="A27" i="1"/>
  <c r="C27" i="1"/>
  <c r="F27" i="1"/>
  <c r="G27" i="1"/>
  <c r="H27" i="1"/>
  <c r="I27" i="1"/>
  <c r="J27" i="1"/>
  <c r="N27" i="1"/>
  <c r="O27" i="1"/>
  <c r="P27" i="1"/>
  <c r="Q27" i="1"/>
  <c r="R27" i="1"/>
  <c r="S27" i="1"/>
  <c r="V27" i="1"/>
  <c r="A28" i="1"/>
  <c r="C28" i="1"/>
  <c r="F28" i="1"/>
  <c r="G28" i="1"/>
  <c r="H28" i="1"/>
  <c r="I28" i="1"/>
  <c r="J28" i="1"/>
  <c r="N28" i="1"/>
  <c r="O28" i="1"/>
  <c r="P28" i="1"/>
  <c r="Q28" i="1"/>
  <c r="R28" i="1"/>
  <c r="S28" i="1"/>
  <c r="V28" i="1"/>
  <c r="A29" i="1"/>
  <c r="C29" i="1"/>
  <c r="F29" i="1"/>
  <c r="G29" i="1"/>
  <c r="H29" i="1"/>
  <c r="I29" i="1"/>
  <c r="J29" i="1"/>
  <c r="N29" i="1"/>
  <c r="O29" i="1"/>
  <c r="P29" i="1"/>
  <c r="Q29" i="1"/>
  <c r="R29" i="1"/>
  <c r="S29" i="1"/>
  <c r="V29" i="1"/>
  <c r="A30" i="1"/>
  <c r="C30" i="1"/>
  <c r="F30" i="1"/>
  <c r="G30" i="1"/>
  <c r="H30" i="1"/>
  <c r="I30" i="1"/>
  <c r="J30" i="1"/>
  <c r="N30" i="1"/>
  <c r="O30" i="1"/>
  <c r="P30" i="1"/>
  <c r="Q30" i="1"/>
  <c r="R30" i="1"/>
  <c r="S30" i="1"/>
  <c r="V30" i="1"/>
  <c r="A31" i="1"/>
  <c r="C31" i="1"/>
  <c r="F31" i="1"/>
  <c r="G31" i="1"/>
  <c r="H31" i="1"/>
  <c r="I31" i="1"/>
  <c r="J31" i="1"/>
  <c r="N31" i="1"/>
  <c r="O31" i="1"/>
  <c r="P31" i="1"/>
  <c r="Q31" i="1"/>
  <c r="R31" i="1"/>
  <c r="S31" i="1"/>
  <c r="V31" i="1"/>
  <c r="A32" i="1"/>
  <c r="C32" i="1"/>
  <c r="F32" i="1"/>
  <c r="G32" i="1"/>
  <c r="H32" i="1"/>
  <c r="I32" i="1"/>
  <c r="J32" i="1"/>
  <c r="N32" i="1"/>
  <c r="O32" i="1"/>
  <c r="P32" i="1"/>
  <c r="Q32" i="1"/>
  <c r="R32" i="1"/>
  <c r="S32" i="1"/>
  <c r="V32" i="1"/>
  <c r="A33" i="1"/>
  <c r="C33" i="1"/>
  <c r="F33" i="1"/>
  <c r="G33" i="1"/>
  <c r="H33" i="1"/>
  <c r="I33" i="1"/>
  <c r="J33" i="1"/>
  <c r="N33" i="1"/>
  <c r="O33" i="1"/>
  <c r="P33" i="1"/>
  <c r="Q33" i="1"/>
  <c r="R33" i="1"/>
  <c r="S33" i="1"/>
  <c r="V33" i="1"/>
  <c r="A34" i="1"/>
  <c r="C34" i="1"/>
  <c r="F34" i="1"/>
  <c r="G34" i="1"/>
  <c r="H34" i="1"/>
  <c r="I34" i="1"/>
  <c r="J34" i="1"/>
  <c r="N34" i="1"/>
  <c r="O34" i="1"/>
  <c r="P34" i="1"/>
  <c r="Q34" i="1"/>
  <c r="R34" i="1"/>
  <c r="S34" i="1"/>
  <c r="V34" i="1"/>
  <c r="A35" i="1"/>
  <c r="C35" i="1"/>
  <c r="F35" i="1"/>
  <c r="G35" i="1"/>
  <c r="H35" i="1"/>
  <c r="I35" i="1"/>
  <c r="J35" i="1"/>
  <c r="N35" i="1"/>
  <c r="O35" i="1"/>
  <c r="P35" i="1"/>
  <c r="Q35" i="1"/>
  <c r="R35" i="1"/>
  <c r="S35" i="1"/>
  <c r="V35" i="1"/>
  <c r="A36" i="1"/>
  <c r="C36" i="1"/>
  <c r="F36" i="1"/>
  <c r="G36" i="1"/>
  <c r="H36" i="1"/>
  <c r="I36" i="1"/>
  <c r="J36" i="1"/>
  <c r="N36" i="1"/>
  <c r="O36" i="1"/>
  <c r="P36" i="1"/>
  <c r="Q36" i="1"/>
  <c r="R36" i="1"/>
  <c r="S36" i="1"/>
  <c r="V36" i="1"/>
  <c r="A37" i="1"/>
  <c r="C37" i="1"/>
  <c r="F37" i="1"/>
  <c r="G37" i="1"/>
  <c r="H37" i="1"/>
  <c r="I37" i="1"/>
  <c r="J37" i="1"/>
  <c r="N37" i="1"/>
  <c r="O37" i="1"/>
  <c r="P37" i="1"/>
  <c r="Q37" i="1"/>
  <c r="R37" i="1"/>
  <c r="S37" i="1"/>
  <c r="V37" i="1"/>
  <c r="A38" i="1"/>
  <c r="C38" i="1"/>
  <c r="F38" i="1"/>
  <c r="G38" i="1"/>
  <c r="H38" i="1"/>
  <c r="I38" i="1"/>
  <c r="J38" i="1"/>
  <c r="N38" i="1"/>
  <c r="O38" i="1"/>
  <c r="P38" i="1"/>
  <c r="Q38" i="1"/>
  <c r="R38" i="1"/>
  <c r="S38" i="1"/>
  <c r="V38" i="1"/>
  <c r="A39" i="1"/>
  <c r="C39" i="1"/>
  <c r="F39" i="1"/>
  <c r="G39" i="1"/>
  <c r="H39" i="1"/>
  <c r="I39" i="1"/>
  <c r="J39" i="1"/>
  <c r="N39" i="1"/>
  <c r="O39" i="1"/>
  <c r="P39" i="1"/>
  <c r="Q39" i="1"/>
  <c r="R39" i="1"/>
  <c r="S39" i="1"/>
  <c r="V39" i="1"/>
  <c r="A40" i="1"/>
  <c r="C40" i="1"/>
  <c r="F40" i="1"/>
  <c r="G40" i="1"/>
  <c r="H40" i="1"/>
  <c r="I40" i="1"/>
  <c r="J40" i="1"/>
  <c r="N40" i="1"/>
  <c r="O40" i="1"/>
  <c r="P40" i="1"/>
  <c r="Q40" i="1"/>
  <c r="R40" i="1"/>
  <c r="S40" i="1"/>
  <c r="V40" i="1"/>
  <c r="A41" i="1"/>
  <c r="C41" i="1"/>
  <c r="F41" i="1"/>
  <c r="G41" i="1"/>
  <c r="H41" i="1"/>
  <c r="I41" i="1"/>
  <c r="J41" i="1"/>
  <c r="N41" i="1"/>
  <c r="O41" i="1"/>
  <c r="P41" i="1"/>
  <c r="Q41" i="1"/>
  <c r="R41" i="1"/>
  <c r="S41" i="1"/>
  <c r="V41" i="1"/>
  <c r="A42" i="1"/>
  <c r="C42" i="1"/>
  <c r="F42" i="1"/>
  <c r="G42" i="1"/>
  <c r="H42" i="1"/>
  <c r="I42" i="1"/>
  <c r="J42" i="1"/>
  <c r="N42" i="1"/>
  <c r="O42" i="1"/>
  <c r="P42" i="1"/>
  <c r="Q42" i="1"/>
  <c r="R42" i="1"/>
  <c r="S42" i="1"/>
  <c r="V42" i="1"/>
  <c r="A43" i="1"/>
  <c r="C43" i="1"/>
  <c r="F43" i="1"/>
  <c r="G43" i="1"/>
  <c r="H43" i="1"/>
  <c r="I43" i="1"/>
  <c r="J43" i="1"/>
  <c r="N43" i="1"/>
  <c r="O43" i="1"/>
  <c r="P43" i="1"/>
  <c r="Q43" i="1"/>
  <c r="R43" i="1"/>
  <c r="S43" i="1"/>
  <c r="V43" i="1"/>
  <c r="A44" i="1"/>
  <c r="C44" i="1"/>
  <c r="F44" i="1"/>
  <c r="G44" i="1"/>
  <c r="H44" i="1"/>
  <c r="I44" i="1"/>
  <c r="J44" i="1"/>
  <c r="N44" i="1"/>
  <c r="O44" i="1"/>
  <c r="P44" i="1"/>
  <c r="Q44" i="1"/>
  <c r="R44" i="1"/>
  <c r="S44" i="1"/>
  <c r="V44" i="1"/>
  <c r="A45" i="1"/>
  <c r="C45" i="1"/>
  <c r="F45" i="1"/>
  <c r="G45" i="1"/>
  <c r="H45" i="1"/>
  <c r="I45" i="1"/>
  <c r="J45" i="1"/>
  <c r="N45" i="1"/>
  <c r="O45" i="1"/>
  <c r="P45" i="1"/>
  <c r="Q45" i="1"/>
  <c r="R45" i="1"/>
  <c r="S45" i="1"/>
  <c r="V45" i="1"/>
  <c r="A46" i="1"/>
  <c r="C46" i="1"/>
  <c r="F46" i="1"/>
  <c r="G46" i="1"/>
  <c r="H46" i="1"/>
  <c r="I46" i="1"/>
  <c r="J46" i="1"/>
  <c r="N46" i="1"/>
  <c r="O46" i="1"/>
  <c r="P46" i="1"/>
  <c r="Q46" i="1"/>
  <c r="R46" i="1"/>
  <c r="S46" i="1"/>
  <c r="V46" i="1"/>
  <c r="A47" i="1"/>
  <c r="C47" i="1"/>
  <c r="F47" i="1"/>
  <c r="G47" i="1"/>
  <c r="H47" i="1"/>
  <c r="I47" i="1"/>
  <c r="J47" i="1"/>
  <c r="N47" i="1"/>
  <c r="O47" i="1"/>
  <c r="P47" i="1"/>
  <c r="Q47" i="1"/>
  <c r="R47" i="1"/>
  <c r="S47" i="1"/>
  <c r="V47" i="1"/>
  <c r="A48" i="1"/>
  <c r="C48" i="1"/>
  <c r="F48" i="1"/>
  <c r="G48" i="1"/>
  <c r="H48" i="1"/>
  <c r="I48" i="1"/>
  <c r="J48" i="1"/>
  <c r="N48" i="1"/>
  <c r="O48" i="1"/>
  <c r="P48" i="1"/>
  <c r="Q48" i="1"/>
  <c r="R48" i="1"/>
  <c r="S48" i="1"/>
  <c r="V48" i="1"/>
  <c r="A49" i="1"/>
  <c r="C49" i="1"/>
  <c r="F49" i="1"/>
  <c r="G49" i="1"/>
  <c r="H49" i="1"/>
  <c r="I49" i="1"/>
  <c r="J49" i="1"/>
  <c r="N49" i="1"/>
  <c r="O49" i="1"/>
  <c r="P49" i="1"/>
  <c r="Q49" i="1"/>
  <c r="R49" i="1"/>
  <c r="S49" i="1"/>
  <c r="V49" i="1"/>
  <c r="A50" i="1"/>
  <c r="C50" i="1"/>
  <c r="F50" i="1"/>
  <c r="G50" i="1"/>
  <c r="H50" i="1"/>
  <c r="I50" i="1"/>
  <c r="J50" i="1"/>
  <c r="N50" i="1"/>
  <c r="O50" i="1"/>
  <c r="P50" i="1"/>
  <c r="Q50" i="1"/>
  <c r="R50" i="1"/>
  <c r="S50" i="1"/>
  <c r="V50" i="1"/>
  <c r="A51" i="1"/>
  <c r="C51" i="1"/>
  <c r="F51" i="1"/>
  <c r="G51" i="1"/>
  <c r="H51" i="1"/>
  <c r="I51" i="1"/>
  <c r="J51" i="1"/>
  <c r="N51" i="1"/>
  <c r="O51" i="1"/>
  <c r="P51" i="1"/>
  <c r="Q51" i="1"/>
  <c r="R51" i="1"/>
  <c r="S51" i="1"/>
  <c r="V51" i="1"/>
  <c r="A52" i="1"/>
  <c r="C52" i="1"/>
  <c r="F52" i="1"/>
  <c r="G52" i="1"/>
  <c r="H52" i="1"/>
  <c r="I52" i="1"/>
  <c r="J52" i="1"/>
  <c r="N52" i="1"/>
  <c r="O52" i="1"/>
  <c r="P52" i="1"/>
  <c r="Q52" i="1"/>
  <c r="R52" i="1"/>
  <c r="S52" i="1"/>
  <c r="V52" i="1"/>
  <c r="A53" i="1"/>
  <c r="C53" i="1"/>
  <c r="F53" i="1"/>
  <c r="G53" i="1"/>
  <c r="H53" i="1"/>
  <c r="I53" i="1"/>
  <c r="J53" i="1"/>
  <c r="N53" i="1"/>
  <c r="O53" i="1"/>
  <c r="P53" i="1"/>
  <c r="Q53" i="1"/>
  <c r="R53" i="1"/>
  <c r="S53" i="1"/>
  <c r="V53" i="1"/>
  <c r="A54" i="1"/>
  <c r="C54" i="1"/>
  <c r="F54" i="1"/>
  <c r="G54" i="1"/>
  <c r="H54" i="1"/>
  <c r="I54" i="1"/>
  <c r="J54" i="1"/>
  <c r="N54" i="1"/>
  <c r="O54" i="1"/>
  <c r="P54" i="1"/>
  <c r="Q54" i="1"/>
  <c r="R54" i="1"/>
  <c r="S54" i="1"/>
  <c r="V54" i="1"/>
  <c r="A55" i="1"/>
  <c r="C55" i="1"/>
  <c r="F55" i="1"/>
  <c r="G55" i="1"/>
  <c r="H55" i="1"/>
  <c r="I55" i="1"/>
  <c r="J55" i="1"/>
  <c r="N55" i="1"/>
  <c r="O55" i="1"/>
  <c r="P55" i="1"/>
  <c r="Q55" i="1"/>
  <c r="R55" i="1"/>
  <c r="S55" i="1"/>
  <c r="V55" i="1"/>
  <c r="A56" i="1"/>
  <c r="C56" i="1"/>
  <c r="F56" i="1"/>
  <c r="G56" i="1"/>
  <c r="H56" i="1"/>
  <c r="I56" i="1"/>
  <c r="J56" i="1"/>
  <c r="N56" i="1"/>
  <c r="O56" i="1"/>
  <c r="P56" i="1"/>
  <c r="Q56" i="1"/>
  <c r="R56" i="1"/>
  <c r="S56" i="1"/>
  <c r="V56" i="1"/>
  <c r="A57" i="1"/>
  <c r="C57" i="1"/>
  <c r="F57" i="1"/>
  <c r="G57" i="1"/>
  <c r="H57" i="1"/>
  <c r="I57" i="1"/>
  <c r="J57" i="1"/>
  <c r="N57" i="1"/>
  <c r="O57" i="1"/>
  <c r="P57" i="1"/>
  <c r="Q57" i="1"/>
  <c r="R57" i="1"/>
  <c r="S57" i="1"/>
  <c r="V57" i="1"/>
  <c r="A58" i="1"/>
  <c r="C58" i="1"/>
  <c r="F58" i="1"/>
  <c r="G58" i="1"/>
  <c r="H58" i="1"/>
  <c r="I58" i="1"/>
  <c r="J58" i="1"/>
  <c r="N58" i="1"/>
  <c r="O58" i="1"/>
  <c r="P58" i="1"/>
  <c r="Q58" i="1"/>
  <c r="R58" i="1"/>
  <c r="S58" i="1"/>
  <c r="V58" i="1"/>
  <c r="A59" i="1"/>
  <c r="C59" i="1"/>
  <c r="F59" i="1"/>
  <c r="G59" i="1"/>
  <c r="H59" i="1"/>
  <c r="I59" i="1"/>
  <c r="J59" i="1"/>
  <c r="N59" i="1"/>
  <c r="O59" i="1"/>
  <c r="P59" i="1"/>
  <c r="Q59" i="1"/>
  <c r="R59" i="1"/>
  <c r="S59" i="1"/>
  <c r="V59" i="1"/>
  <c r="A60" i="1"/>
  <c r="C60" i="1"/>
  <c r="F60" i="1"/>
  <c r="G60" i="1"/>
  <c r="H60" i="1"/>
  <c r="I60" i="1"/>
  <c r="J60" i="1"/>
  <c r="N60" i="1"/>
  <c r="O60" i="1"/>
  <c r="P60" i="1"/>
  <c r="Q60" i="1"/>
  <c r="R60" i="1"/>
  <c r="S60" i="1"/>
  <c r="V60" i="1"/>
  <c r="A61" i="1"/>
  <c r="C61" i="1"/>
  <c r="F61" i="1"/>
  <c r="G61" i="1"/>
  <c r="H61" i="1"/>
  <c r="I61" i="1"/>
  <c r="J61" i="1"/>
  <c r="N61" i="1"/>
  <c r="O61" i="1"/>
  <c r="P61" i="1"/>
  <c r="Q61" i="1"/>
  <c r="R61" i="1"/>
  <c r="S61" i="1"/>
  <c r="V61" i="1"/>
  <c r="A62" i="1"/>
  <c r="C62" i="1"/>
  <c r="F62" i="1"/>
  <c r="G62" i="1"/>
  <c r="H62" i="1"/>
  <c r="I62" i="1"/>
  <c r="J62" i="1"/>
  <c r="N62" i="1"/>
  <c r="O62" i="1"/>
  <c r="P62" i="1"/>
  <c r="Q62" i="1"/>
  <c r="R62" i="1"/>
  <c r="S62" i="1"/>
  <c r="V62" i="1"/>
  <c r="A63" i="1"/>
  <c r="C63" i="1"/>
  <c r="F63" i="1"/>
  <c r="G63" i="1"/>
  <c r="H63" i="1"/>
  <c r="I63" i="1"/>
  <c r="J63" i="1"/>
  <c r="N63" i="1"/>
  <c r="O63" i="1"/>
  <c r="P63" i="1"/>
  <c r="Q63" i="1"/>
  <c r="R63" i="1"/>
  <c r="S63" i="1"/>
  <c r="V63" i="1"/>
  <c r="A64" i="1"/>
  <c r="C64" i="1"/>
  <c r="F64" i="1"/>
  <c r="G64" i="1"/>
  <c r="H64" i="1"/>
  <c r="I64" i="1"/>
  <c r="J64" i="1"/>
  <c r="N64" i="1"/>
  <c r="O64" i="1"/>
  <c r="P64" i="1"/>
  <c r="Q64" i="1"/>
  <c r="R64" i="1"/>
  <c r="S64" i="1"/>
  <c r="V64" i="1"/>
  <c r="A65" i="1"/>
  <c r="C65" i="1"/>
  <c r="F65" i="1"/>
  <c r="G65" i="1"/>
  <c r="H65" i="1"/>
  <c r="I65" i="1"/>
  <c r="J65" i="1"/>
  <c r="N65" i="1"/>
  <c r="O65" i="1"/>
  <c r="P65" i="1"/>
  <c r="Q65" i="1"/>
  <c r="R65" i="1"/>
  <c r="S65" i="1"/>
  <c r="V65" i="1"/>
</calcChain>
</file>

<file path=xl/sharedStrings.xml><?xml version="1.0" encoding="utf-8"?>
<sst xmlns="http://schemas.openxmlformats.org/spreadsheetml/2006/main" count="1321" uniqueCount="303">
  <si>
    <t>PolicyNo</t>
  </si>
  <si>
    <t>PHFirst</t>
  </si>
  <si>
    <t>PHLast</t>
  </si>
  <si>
    <t>Status</t>
  </si>
  <si>
    <t>Issuer</t>
  </si>
  <si>
    <t>State</t>
  </si>
  <si>
    <t>ProductType</t>
  </si>
  <si>
    <t>PlanName</t>
  </si>
  <si>
    <t>SubmittedDate</t>
  </si>
  <si>
    <t>EffectiveDate</t>
  </si>
  <si>
    <t>TermDate</t>
  </si>
  <si>
    <t>PaySched</t>
  </si>
  <si>
    <t>PayCode</t>
  </si>
  <si>
    <t>WritingAgentID</t>
  </si>
  <si>
    <t>Premium</t>
  </si>
  <si>
    <t>CommPrem</t>
  </si>
  <si>
    <t>TranDate</t>
  </si>
  <si>
    <t>CommReceived</t>
  </si>
  <si>
    <t>PTD</t>
  </si>
  <si>
    <t>NoPayMon</t>
  </si>
  <si>
    <t>MemberCount</t>
  </si>
  <si>
    <t>Note</t>
  </si>
  <si>
    <t>Active</t>
  </si>
  <si>
    <t>Monthly</t>
  </si>
  <si>
    <t>Manhattan Life</t>
  </si>
  <si>
    <t>DVH SELECT $5,000 POL MAX WITH $100 DEDUCT</t>
  </si>
  <si>
    <t>DVH SELECT $5,000 POL MAX WITH $0 DEDUCT</t>
  </si>
  <si>
    <t>WILLIAMS, LUCIA M</t>
  </si>
  <si>
    <t>01VK1890000</t>
  </si>
  <si>
    <t>SEL50D100GA</t>
  </si>
  <si>
    <t>GA</t>
  </si>
  <si>
    <t xml:space="preserve"> </t>
  </si>
  <si>
    <t>Calendar</t>
  </si>
  <si>
    <t xml:space="preserve">Agent Comm.  </t>
  </si>
  <si>
    <t>FL</t>
  </si>
  <si>
    <t>SEL50D100FL</t>
  </si>
  <si>
    <t>Split</t>
  </si>
  <si>
    <t xml:space="preserve">Agent Name </t>
  </si>
  <si>
    <t>Commission</t>
  </si>
  <si>
    <t>Rate</t>
  </si>
  <si>
    <t>Duration</t>
  </si>
  <si>
    <t>Mode Desc.</t>
  </si>
  <si>
    <t>Mode</t>
  </si>
  <si>
    <t>Policy</t>
  </si>
  <si>
    <t>Block</t>
  </si>
  <si>
    <t>Payor/Group Name</t>
  </si>
  <si>
    <t>Group No.</t>
  </si>
  <si>
    <t>PAID ENHANCED - 24 HR ACC POLICY 2 UNITS</t>
  </si>
  <si>
    <t>AL</t>
  </si>
  <si>
    <t>DVH REFRESH, GENERIC PLAN, $1,500 PY MAX</t>
  </si>
  <si>
    <t>01VK1880000</t>
  </si>
  <si>
    <t>SCOTT, SHERI-ANN M</t>
  </si>
  <si>
    <t>DVH REFRESH, GENERIC PLAN, $1,000 PY MAX</t>
  </si>
  <si>
    <t>TX</t>
  </si>
  <si>
    <t>DVH SELECT $3,000 POL MAX WITH $0 DEDUCT</t>
  </si>
  <si>
    <t>DVH SELECT $1,500 POL MAX WITH $0 DEDUCT</t>
  </si>
  <si>
    <t>DVH SELECT $3,000 POL MAX WITH $100 DEDUCT</t>
  </si>
  <si>
    <t>DVH SELECT $1,000 POL MAX WITH $100 DEDUCT</t>
  </si>
  <si>
    <t>Accident</t>
  </si>
  <si>
    <t>Dental with Vision</t>
  </si>
  <si>
    <t xml:space="preserve">PAID Personal Accident &amp; DI Rider, and Accident Express </t>
  </si>
  <si>
    <t xml:space="preserve">Dental, Vision, Hearing &amp; Dental, Vision, Hearing Select </t>
  </si>
  <si>
    <t>PA</t>
  </si>
  <si>
    <t>AK7010EPPA</t>
  </si>
  <si>
    <t>AFFORDABLE CHOICE ENHANCED ELITE PLUS</t>
  </si>
  <si>
    <t>01VK1700000</t>
  </si>
  <si>
    <t>KOPEK, MICHAEL J</t>
  </si>
  <si>
    <t>PAID ENHANCED - 24 HR ACC POLICY 1 UNIT</t>
  </si>
  <si>
    <t>NC</t>
  </si>
  <si>
    <t>MO</t>
  </si>
  <si>
    <t>SEL50D100</t>
  </si>
  <si>
    <t>SEL5K25TX</t>
  </si>
  <si>
    <t>SEL3K25D100TX</t>
  </si>
  <si>
    <t>01VK2010000</t>
  </si>
  <si>
    <t>BLINCO, MICHELLE</t>
  </si>
  <si>
    <t>Affordable Choice</t>
  </si>
  <si>
    <t>Fixed Indemnity</t>
  </si>
  <si>
    <t>Default</t>
  </si>
  <si>
    <t>AFFORDABLE CHOICE ENHANCED CLASSIC</t>
  </si>
  <si>
    <t>MHPACC24FL</t>
  </si>
  <si>
    <t>MIAC 24 HR ACCIDENT EXPENSE FL</t>
  </si>
  <si>
    <t>AFFORDABLE CHOICE ENHANCED CLASSIC PLUS</t>
  </si>
  <si>
    <t>DENTAL/VISION/HEARING  $1500 POL MAX</t>
  </si>
  <si>
    <t>PAID ENHANCED - NON-OCC ACCIDENT 2 UNITS</t>
  </si>
  <si>
    <t>2013 OFF THE JOB ACCIDENT EXPENSE</t>
  </si>
  <si>
    <t>01VK1860000</t>
  </si>
  <si>
    <t>MOBLEY, JAKE O</t>
  </si>
  <si>
    <t>HOSPITAL INDEMNITY SELECT</t>
  </si>
  <si>
    <t>LUMP SUM CANCER</t>
  </si>
  <si>
    <t>LUMP SUM HEART ATTACK AND STROKE</t>
  </si>
  <si>
    <t>SEL50GA</t>
  </si>
  <si>
    <t>SEL50FL</t>
  </si>
  <si>
    <t>DVH SELECT $1,000 POL MAX WITH $0 DEDUCT</t>
  </si>
  <si>
    <t>01VK2120000</t>
  </si>
  <si>
    <t>MANN, GREGORY M</t>
  </si>
  <si>
    <t>Hospital Indemnity Select 18-64.5</t>
  </si>
  <si>
    <t>Hospital Indemnity</t>
  </si>
  <si>
    <t>PAID Personal Accident &amp; DI Rider, and Accident Express</t>
  </si>
  <si>
    <t>Cancer, Heart Attack, Stroke</t>
  </si>
  <si>
    <t>Critical Illness</t>
  </si>
  <si>
    <t>TN</t>
  </si>
  <si>
    <t>SEL3K25TX</t>
  </si>
  <si>
    <t>01VK2070000</t>
  </si>
  <si>
    <t>MCCORKLE, LINDSEY</t>
  </si>
  <si>
    <t>IA</t>
  </si>
  <si>
    <t>DVH REFRESH, GENERIC PLAN, $3,000 PY MAX</t>
  </si>
  <si>
    <t>OH</t>
  </si>
  <si>
    <t>HIB23</t>
  </si>
  <si>
    <t>Record Type</t>
  </si>
  <si>
    <t>Owner Name</t>
  </si>
  <si>
    <t>Payment Date</t>
  </si>
  <si>
    <t>Issue Date</t>
  </si>
  <si>
    <t>Advance Repay</t>
  </si>
  <si>
    <t>Charges/Transfers</t>
  </si>
  <si>
    <t>Transfer From</t>
  </si>
  <si>
    <t>Transfer Desc.</t>
  </si>
  <si>
    <t>Issue State</t>
  </si>
  <si>
    <t>Plan Code</t>
  </si>
  <si>
    <t>Plan Description</t>
  </si>
  <si>
    <t>Writing Agent</t>
  </si>
  <si>
    <t>SEL50NC</t>
  </si>
  <si>
    <t>WY</t>
  </si>
  <si>
    <t>CRITICAL PROTECTION &amp; RECOVERY W/ CANCER (B)</t>
  </si>
  <si>
    <t>PAID ENHANCED - 24 HR ACC POLICY 2 UNIT</t>
  </si>
  <si>
    <t>AFFORDABLE CHOICE ENHANCED ELITE</t>
  </si>
  <si>
    <t>SEL30D100FL</t>
  </si>
  <si>
    <t>SEL50</t>
  </si>
  <si>
    <t>DVH SELECT $1,500 POL MAX WITH $100 DEDUCT</t>
  </si>
  <si>
    <t>SEL50OH</t>
  </si>
  <si>
    <t>Critical Protection CPR-Critical Illness</t>
  </si>
  <si>
    <t>SEL30GA</t>
  </si>
  <si>
    <t>SEL1K25TX</t>
  </si>
  <si>
    <t>01VK4020000</t>
  </si>
  <si>
    <t>FAULKNER, MARK S</t>
  </si>
  <si>
    <t>SEL30TX</t>
  </si>
  <si>
    <t>01VK1870000</t>
  </si>
  <si>
    <t>MCCHESNEY, JONATHAN R</t>
  </si>
  <si>
    <t>IL</t>
  </si>
  <si>
    <t>SC</t>
  </si>
  <si>
    <t>DVH REFRESH, GENERIC PLAN, $5,000 PY MAX</t>
  </si>
  <si>
    <t>01VK5160000</t>
  </si>
  <si>
    <t>DITSCH, RYAN B</t>
  </si>
  <si>
    <t>SEL3K25D100IL</t>
  </si>
  <si>
    <t>DANIEL RUSIN</t>
  </si>
  <si>
    <t>RUSIN, DANIEL</t>
  </si>
  <si>
    <t>CHRISTOPHER PORTER</t>
  </si>
  <si>
    <t>PORTER, CHRISTOPHER</t>
  </si>
  <si>
    <t>STACY ROULHAC</t>
  </si>
  <si>
    <t>ROULHAC, STACY</t>
  </si>
  <si>
    <t>01VK5540000</t>
  </si>
  <si>
    <t>CETOUTE, GLORIA</t>
  </si>
  <si>
    <t>DVH3K25</t>
  </si>
  <si>
    <t>FERNANDO LOEZA</t>
  </si>
  <si>
    <t>LOEZA, FERNANDO</t>
  </si>
  <si>
    <t>SHANDA CHERNAK</t>
  </si>
  <si>
    <t>CHERNAK, SHANDA</t>
  </si>
  <si>
    <t>AARON HACK</t>
  </si>
  <si>
    <t>HACK, AARON</t>
  </si>
  <si>
    <t>VANCE FREED</t>
  </si>
  <si>
    <t>FREED, VANCE</t>
  </si>
  <si>
    <t>SEL50WY</t>
  </si>
  <si>
    <t>SHARI WALLS</t>
  </si>
  <si>
    <t>WALLS, SHARI</t>
  </si>
  <si>
    <t>JEANA JOHNSON</t>
  </si>
  <si>
    <t>JOHNSON, JEANA</t>
  </si>
  <si>
    <t>JASMINE RANDOLPH</t>
  </si>
  <si>
    <t>RANDOLPH, JASMINE</t>
  </si>
  <si>
    <t>SEL5K25TN</t>
  </si>
  <si>
    <t>PAUL BREA</t>
  </si>
  <si>
    <t>BREA, PAUL</t>
  </si>
  <si>
    <t>TERRANCE BAKER</t>
  </si>
  <si>
    <t>BAKER, TERRANCE</t>
  </si>
  <si>
    <t>KALIYAH YOUNG</t>
  </si>
  <si>
    <t>YOUNG, KALIYAH</t>
  </si>
  <si>
    <t>CANDICE BAKER</t>
  </si>
  <si>
    <t>BAKER, CANDICE</t>
  </si>
  <si>
    <t>BENJAMIN THEIS</t>
  </si>
  <si>
    <t>THEIS, BENJAMIN</t>
  </si>
  <si>
    <t>NE</t>
  </si>
  <si>
    <t>SEL50NE</t>
  </si>
  <si>
    <t>CAROL EVANS</t>
  </si>
  <si>
    <t>EVANS, CAROL</t>
  </si>
  <si>
    <t>HEATHER MOSHIER</t>
  </si>
  <si>
    <t>MOSHIER, HEATHER</t>
  </si>
  <si>
    <t>SEL3K25D100TN</t>
  </si>
  <si>
    <t>ANNA FLEMING</t>
  </si>
  <si>
    <t>FLEMING, ANNA</t>
  </si>
  <si>
    <t>01VK1790000</t>
  </si>
  <si>
    <t>WOXOM SOLUTIONS LLC</t>
  </si>
  <si>
    <t>DESTINY FALCONI</t>
  </si>
  <si>
    <t>FALCONI, DESTINY</t>
  </si>
  <si>
    <t>WILLIAM DUBAY</t>
  </si>
  <si>
    <t>DUBAY, WILLIAM</t>
  </si>
  <si>
    <t>REMON LEAKS</t>
  </si>
  <si>
    <t>LEAKS, REMON</t>
  </si>
  <si>
    <t>BRADFORD MARTIN</t>
  </si>
  <si>
    <t>MARTIN, BRADFORD</t>
  </si>
  <si>
    <t>YVETTE ELMORE</t>
  </si>
  <si>
    <t>ELMORE, YVETTE</t>
  </si>
  <si>
    <t>REBECCA WANG</t>
  </si>
  <si>
    <t>WANG, REBECCA</t>
  </si>
  <si>
    <t>LAM TRAN</t>
  </si>
  <si>
    <t>TRAN, LAM</t>
  </si>
  <si>
    <t>BLAKE CULP</t>
  </si>
  <si>
    <t>CULP, BLAKE</t>
  </si>
  <si>
    <t>ALAINA GALASSO</t>
  </si>
  <si>
    <t>GALASSO, ALAINA</t>
  </si>
  <si>
    <t>KORTNIE WADDELL</t>
  </si>
  <si>
    <t>WADDELL, KORTNIE</t>
  </si>
  <si>
    <t>SEL10</t>
  </si>
  <si>
    <t>01VK5550000</t>
  </si>
  <si>
    <t>JOSEPH, PHILOMENA</t>
  </si>
  <si>
    <t>01VK5230000</t>
  </si>
  <si>
    <t>AMOROSO, JOSEPH D</t>
  </si>
  <si>
    <t>01VK5370000</t>
  </si>
  <si>
    <t>CINTRON, VICTOR G</t>
  </si>
  <si>
    <t>LAQUINTA PAUL</t>
  </si>
  <si>
    <t>PAUL, LAQUINTA</t>
  </si>
  <si>
    <t>TAZSAYA ALLEN</t>
  </si>
  <si>
    <t>ALLEN, TAZSAYA</t>
  </si>
  <si>
    <t>LESLIE SCHONHOLZ</t>
  </si>
  <si>
    <t>SCHONHOLZ, LESLIE</t>
  </si>
  <si>
    <t>TYHESHA KELLEY</t>
  </si>
  <si>
    <t>KELLEY, TYHESHA</t>
  </si>
  <si>
    <t>KEONTAE BROOKS</t>
  </si>
  <si>
    <t>BROOKS, KEONTAE</t>
  </si>
  <si>
    <t>012</t>
  </si>
  <si>
    <t>GENEVA AGUILAR</t>
  </si>
  <si>
    <t>AGUILAR, GENEVA</t>
  </si>
  <si>
    <t>AK7024TX</t>
  </si>
  <si>
    <t>RAYMOND BLOOMER</t>
  </si>
  <si>
    <t>BLOOMER, RAYMOND</t>
  </si>
  <si>
    <t>01VK5580000</t>
  </si>
  <si>
    <t>CRESCITELLI, DANIEL S</t>
  </si>
  <si>
    <t>JOSHUA HENRY</t>
  </si>
  <si>
    <t>HENRY, JOSHUA</t>
  </si>
  <si>
    <t>DVH5K25</t>
  </si>
  <si>
    <t>SANDRA SHAFF</t>
  </si>
  <si>
    <t>SHAFF, SANDRA</t>
  </si>
  <si>
    <t>004</t>
  </si>
  <si>
    <t>GARY SALLEE</t>
  </si>
  <si>
    <t>SALLEE, GARY</t>
  </si>
  <si>
    <t>MELANIE SHEA</t>
  </si>
  <si>
    <t>SHEA, MELANIE</t>
  </si>
  <si>
    <t>SEL10FL</t>
  </si>
  <si>
    <t>ROBERT LAMINACK</t>
  </si>
  <si>
    <t>LAMINACK, ROBERT</t>
  </si>
  <si>
    <t>SHERRIL MONROE</t>
  </si>
  <si>
    <t>MONROE, SHERRIL</t>
  </si>
  <si>
    <t>ELESA ATES</t>
  </si>
  <si>
    <t>ATES, ELESA</t>
  </si>
  <si>
    <t>STONE SYKES</t>
  </si>
  <si>
    <t>SYKES, STONE</t>
  </si>
  <si>
    <t>CARLTON LOVING</t>
  </si>
  <si>
    <t>LOVING, CARLTON</t>
  </si>
  <si>
    <t>KENDRICK JOHNSON</t>
  </si>
  <si>
    <t>JOHNSON, KENDRICK</t>
  </si>
  <si>
    <t>STEVEN ROBERTS</t>
  </si>
  <si>
    <t>ROBERTS, STEVEN</t>
  </si>
  <si>
    <t>01VK5610000</t>
  </si>
  <si>
    <t>DOBSON, RICCI B</t>
  </si>
  <si>
    <t>DUMOR MOSLEY</t>
  </si>
  <si>
    <t>MOSLEY, DUMOR</t>
  </si>
  <si>
    <t>TERRANCE FIELDS</t>
  </si>
  <si>
    <t>FIELDS, TERRANCE</t>
  </si>
  <si>
    <t>SEL50SC</t>
  </si>
  <si>
    <t>HEATHER ARIZA</t>
  </si>
  <si>
    <t>ARIZA, HEATHER</t>
  </si>
  <si>
    <t>SEL30D100SC</t>
  </si>
  <si>
    <t>JOANNA EDWARDS</t>
  </si>
  <si>
    <t>EDWARDS, JOANNA</t>
  </si>
  <si>
    <t>SEL15GA</t>
  </si>
  <si>
    <t>THOMAS HOLMES</t>
  </si>
  <si>
    <t>HOLMES, THOMAS</t>
  </si>
  <si>
    <t>STEVE ELCOCK</t>
  </si>
  <si>
    <t>ELCOCK, STEVE</t>
  </si>
  <si>
    <t>NAKIA BOSTON</t>
  </si>
  <si>
    <t>BOSTON, NAKIA</t>
  </si>
  <si>
    <t>SAVANNAH AMES</t>
  </si>
  <si>
    <t>AMES, SAVANNAH</t>
  </si>
  <si>
    <t>NV</t>
  </si>
  <si>
    <t>SEL50NV</t>
  </si>
  <si>
    <t>01VK1980000</t>
  </si>
  <si>
    <t>BLINCO, MICHAEL</t>
  </si>
  <si>
    <t>LAURA DILISIO</t>
  </si>
  <si>
    <t>DILISIO, LAURA</t>
  </si>
  <si>
    <t>ISAIAH HOPE</t>
  </si>
  <si>
    <t>HOPE, ISAIAH</t>
  </si>
  <si>
    <t>SEL15NC</t>
  </si>
  <si>
    <t>RODLIN GELIN</t>
  </si>
  <si>
    <t>GELIN, RODLIN</t>
  </si>
  <si>
    <t>PATRICIA SMITH-GARCIA</t>
  </si>
  <si>
    <t>SMITH-GARCIA, PATRICIA</t>
  </si>
  <si>
    <t>LUISA BEHAR-LEVY</t>
  </si>
  <si>
    <t>BEHAR-LEVY, LUISA</t>
  </si>
  <si>
    <t>SANDRA BARNES</t>
  </si>
  <si>
    <t>BARNES, SANDRA</t>
  </si>
  <si>
    <t>SEL1K25D100TX</t>
  </si>
  <si>
    <t>KEVANTE HULLABY</t>
  </si>
  <si>
    <t>HULLABY, KEVANTE</t>
  </si>
  <si>
    <t>SEL5K25D100TX</t>
  </si>
  <si>
    <t>LEE MILLER</t>
  </si>
  <si>
    <t>MILLER,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</si>
</sst>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666666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125B-8AC7-473A-AAF7-CD155CA4CBBD}">
  <dimension ref="A1:AH75"/>
  <sheetViews>
    <sheetView topLeftCell="A37" workbookViewId="0">
      <selection activeCell="A2" sqref="A2:AH75"/>
    </sheetView>
  </sheetViews>
  <sheetFormatPr defaultRowHeight="14.4" x14ac:dyDescent="0.3"/>
  <cols>
    <col min="3" max="3" width="23.33203125" customWidth="1"/>
    <col min="9" max="9" width="11.88671875" customWidth="1"/>
    <col min="10" max="10" width="10.77734375" customWidth="1"/>
    <col min="11" max="11" width="10" customWidth="1"/>
    <col min="22" max="22" width="55" customWidth="1"/>
    <col min="23" max="23" width="23.6640625" customWidth="1"/>
    <col min="24" max="24" width="20.44140625" customWidth="1"/>
  </cols>
  <sheetData>
    <row r="1" spans="1:34" x14ac:dyDescent="0.3">
      <c r="A1" t="s">
        <v>108</v>
      </c>
      <c r="B1" t="s">
        <v>46</v>
      </c>
      <c r="C1" t="s">
        <v>45</v>
      </c>
      <c r="D1" t="s">
        <v>44</v>
      </c>
      <c r="E1" t="s">
        <v>43</v>
      </c>
      <c r="F1" t="s">
        <v>109</v>
      </c>
      <c r="G1" t="s">
        <v>42</v>
      </c>
      <c r="H1" t="s">
        <v>41</v>
      </c>
      <c r="I1" t="s">
        <v>110</v>
      </c>
      <c r="J1" t="s">
        <v>18</v>
      </c>
      <c r="K1" t="s">
        <v>111</v>
      </c>
      <c r="L1" t="s">
        <v>40</v>
      </c>
      <c r="M1" t="s">
        <v>14</v>
      </c>
      <c r="N1" t="s">
        <v>39</v>
      </c>
      <c r="O1" t="s">
        <v>38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37</v>
      </c>
      <c r="Y1" t="s">
        <v>36</v>
      </c>
      <c r="Z1" t="s">
        <v>119</v>
      </c>
      <c r="AA1" t="s">
        <v>37</v>
      </c>
      <c r="AB1" t="s">
        <v>36</v>
      </c>
      <c r="AC1" t="s">
        <v>119</v>
      </c>
      <c r="AD1" t="s">
        <v>37</v>
      </c>
      <c r="AE1" t="s">
        <v>36</v>
      </c>
      <c r="AF1" t="s">
        <v>119</v>
      </c>
      <c r="AG1" t="s">
        <v>37</v>
      </c>
      <c r="AH1" t="s">
        <v>36</v>
      </c>
    </row>
    <row r="2" spans="1:34" x14ac:dyDescent="0.3">
      <c r="A2" t="s">
        <v>33</v>
      </c>
      <c r="B2">
        <v>1212153</v>
      </c>
      <c r="C2" t="s">
        <v>143</v>
      </c>
      <c r="D2">
        <v>72</v>
      </c>
      <c r="E2">
        <v>1212153</v>
      </c>
      <c r="F2" t="s">
        <v>144</v>
      </c>
      <c r="G2" s="3" t="s">
        <v>226</v>
      </c>
      <c r="H2" t="s">
        <v>32</v>
      </c>
      <c r="I2" s="1">
        <v>45950</v>
      </c>
      <c r="J2" s="1">
        <v>45981</v>
      </c>
      <c r="K2" s="1">
        <v>45767</v>
      </c>
      <c r="L2">
        <v>1</v>
      </c>
      <c r="M2">
        <v>261.43</v>
      </c>
      <c r="N2">
        <v>0.35</v>
      </c>
      <c r="O2">
        <v>91.5</v>
      </c>
      <c r="P2">
        <v>0</v>
      </c>
      <c r="Q2">
        <v>0</v>
      </c>
      <c r="R2" t="s">
        <v>31</v>
      </c>
      <c r="S2" t="s">
        <v>31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>
        <v>1</v>
      </c>
      <c r="AB2">
        <v>0</v>
      </c>
      <c r="AE2">
        <v>0</v>
      </c>
      <c r="AH2">
        <v>0</v>
      </c>
    </row>
    <row r="3" spans="1:34" x14ac:dyDescent="0.3">
      <c r="A3" t="s">
        <v>33</v>
      </c>
      <c r="B3">
        <v>1224137</v>
      </c>
      <c r="C3" t="s">
        <v>145</v>
      </c>
      <c r="D3">
        <v>72</v>
      </c>
      <c r="E3">
        <v>1224137</v>
      </c>
      <c r="F3" t="s">
        <v>146</v>
      </c>
      <c r="G3" s="3" t="s">
        <v>226</v>
      </c>
      <c r="H3" t="s">
        <v>32</v>
      </c>
      <c r="I3" s="1">
        <v>45953</v>
      </c>
      <c r="J3" s="1">
        <v>45984</v>
      </c>
      <c r="K3" s="1">
        <v>45800</v>
      </c>
      <c r="L3">
        <v>1</v>
      </c>
      <c r="M3">
        <v>18.329999999999998</v>
      </c>
      <c r="N3">
        <v>0.7</v>
      </c>
      <c r="O3">
        <v>12.83</v>
      </c>
      <c r="P3">
        <v>0</v>
      </c>
      <c r="Q3">
        <v>0</v>
      </c>
      <c r="R3" t="s">
        <v>31</v>
      </c>
      <c r="S3" t="s">
        <v>31</v>
      </c>
      <c r="T3" t="s">
        <v>34</v>
      </c>
      <c r="U3" t="s">
        <v>79</v>
      </c>
      <c r="V3" t="s">
        <v>80</v>
      </c>
      <c r="W3" t="s">
        <v>50</v>
      </c>
      <c r="X3" t="s">
        <v>51</v>
      </c>
      <c r="Y3">
        <v>1</v>
      </c>
      <c r="AB3">
        <v>0</v>
      </c>
      <c r="AE3">
        <v>0</v>
      </c>
      <c r="AH3">
        <v>0</v>
      </c>
    </row>
    <row r="4" spans="1:34" x14ac:dyDescent="0.3">
      <c r="A4" t="s">
        <v>33</v>
      </c>
      <c r="B4">
        <v>1229523</v>
      </c>
      <c r="C4" t="s">
        <v>147</v>
      </c>
      <c r="D4">
        <v>72</v>
      </c>
      <c r="E4">
        <v>1229523</v>
      </c>
      <c r="F4" t="s">
        <v>148</v>
      </c>
      <c r="G4" s="3" t="s">
        <v>226</v>
      </c>
      <c r="H4" t="s">
        <v>32</v>
      </c>
      <c r="I4" s="1">
        <v>45950</v>
      </c>
      <c r="J4" s="1">
        <v>45980</v>
      </c>
      <c r="K4" s="1">
        <v>45827</v>
      </c>
      <c r="L4">
        <v>1</v>
      </c>
      <c r="M4">
        <v>18.329999999999998</v>
      </c>
      <c r="N4">
        <v>0.7</v>
      </c>
      <c r="O4">
        <v>12.83</v>
      </c>
      <c r="P4">
        <v>0</v>
      </c>
      <c r="Q4">
        <v>0</v>
      </c>
      <c r="R4" t="s">
        <v>31</v>
      </c>
      <c r="S4" t="s">
        <v>31</v>
      </c>
      <c r="T4" t="s">
        <v>34</v>
      </c>
      <c r="U4" t="s">
        <v>79</v>
      </c>
      <c r="V4" t="s">
        <v>80</v>
      </c>
      <c r="W4" t="s">
        <v>50</v>
      </c>
      <c r="X4" t="s">
        <v>51</v>
      </c>
      <c r="Y4">
        <v>1</v>
      </c>
      <c r="AB4">
        <v>0</v>
      </c>
      <c r="AE4">
        <v>0</v>
      </c>
      <c r="AH4">
        <v>0</v>
      </c>
    </row>
    <row r="5" spans="1:34" x14ac:dyDescent="0.3">
      <c r="A5" t="s">
        <v>33</v>
      </c>
      <c r="B5">
        <v>1246366</v>
      </c>
      <c r="C5" t="s">
        <v>227</v>
      </c>
      <c r="D5">
        <v>72</v>
      </c>
      <c r="E5">
        <v>1246366</v>
      </c>
      <c r="F5" t="s">
        <v>228</v>
      </c>
      <c r="G5" s="3" t="s">
        <v>226</v>
      </c>
      <c r="H5" t="s">
        <v>32</v>
      </c>
      <c r="I5" s="1">
        <v>45951</v>
      </c>
      <c r="J5" s="1">
        <v>45971</v>
      </c>
      <c r="K5" s="1">
        <v>45910</v>
      </c>
      <c r="L5">
        <v>1</v>
      </c>
      <c r="M5">
        <v>-18.329999999999998</v>
      </c>
      <c r="N5">
        <v>0.7</v>
      </c>
      <c r="O5">
        <v>-12.83</v>
      </c>
      <c r="P5">
        <v>0</v>
      </c>
      <c r="Q5">
        <v>0</v>
      </c>
      <c r="R5" t="s">
        <v>31</v>
      </c>
      <c r="S5" t="s">
        <v>31</v>
      </c>
      <c r="T5" t="s">
        <v>53</v>
      </c>
      <c r="U5" t="s">
        <v>229</v>
      </c>
      <c r="V5" t="s">
        <v>67</v>
      </c>
      <c r="W5" t="s">
        <v>50</v>
      </c>
      <c r="X5" t="s">
        <v>51</v>
      </c>
      <c r="Y5">
        <v>1</v>
      </c>
      <c r="AB5">
        <v>0</v>
      </c>
      <c r="AE5">
        <v>0</v>
      </c>
      <c r="AH5">
        <v>0</v>
      </c>
    </row>
    <row r="6" spans="1:34" x14ac:dyDescent="0.3">
      <c r="A6" t="s">
        <v>33</v>
      </c>
      <c r="B6">
        <v>1253910</v>
      </c>
      <c r="C6" t="s">
        <v>230</v>
      </c>
      <c r="D6">
        <v>72</v>
      </c>
      <c r="E6">
        <v>1253910</v>
      </c>
      <c r="F6" t="s">
        <v>231</v>
      </c>
      <c r="G6" s="3" t="s">
        <v>226</v>
      </c>
      <c r="H6" t="s">
        <v>32</v>
      </c>
      <c r="I6" s="1">
        <v>45946</v>
      </c>
      <c r="J6" s="1">
        <v>45977</v>
      </c>
      <c r="K6" s="1">
        <v>45946</v>
      </c>
      <c r="L6">
        <v>1</v>
      </c>
      <c r="M6">
        <v>56.15</v>
      </c>
      <c r="N6">
        <v>0.57499999999999996</v>
      </c>
      <c r="O6">
        <v>0</v>
      </c>
      <c r="P6">
        <v>32.29</v>
      </c>
      <c r="Q6">
        <v>0</v>
      </c>
      <c r="R6" t="s">
        <v>31</v>
      </c>
      <c r="S6" t="s">
        <v>31</v>
      </c>
      <c r="T6" t="s">
        <v>53</v>
      </c>
      <c r="U6" t="s">
        <v>151</v>
      </c>
      <c r="V6" t="s">
        <v>105</v>
      </c>
      <c r="W6" t="s">
        <v>232</v>
      </c>
      <c r="X6" t="s">
        <v>233</v>
      </c>
      <c r="Y6">
        <v>1</v>
      </c>
      <c r="AB6">
        <v>0</v>
      </c>
      <c r="AE6">
        <v>0</v>
      </c>
      <c r="AH6">
        <v>0</v>
      </c>
    </row>
    <row r="7" spans="1:34" x14ac:dyDescent="0.3">
      <c r="A7" t="s">
        <v>33</v>
      </c>
      <c r="B7">
        <v>1253910</v>
      </c>
      <c r="C7" t="s">
        <v>230</v>
      </c>
      <c r="D7">
        <v>72</v>
      </c>
      <c r="E7">
        <v>1253910</v>
      </c>
      <c r="F7" t="s">
        <v>231</v>
      </c>
      <c r="G7" s="3" t="s">
        <v>226</v>
      </c>
      <c r="H7" t="s">
        <v>32</v>
      </c>
      <c r="I7" s="1">
        <v>45950</v>
      </c>
      <c r="J7" s="1">
        <v>45977</v>
      </c>
      <c r="K7" s="1">
        <v>45946</v>
      </c>
      <c r="L7">
        <v>1</v>
      </c>
      <c r="M7">
        <v>-56.15</v>
      </c>
      <c r="N7">
        <v>0.57499999999999996</v>
      </c>
      <c r="O7">
        <v>0</v>
      </c>
      <c r="P7">
        <v>-32.29</v>
      </c>
      <c r="Q7">
        <v>0</v>
      </c>
      <c r="R7" t="s">
        <v>31</v>
      </c>
      <c r="S7" t="s">
        <v>31</v>
      </c>
      <c r="T7" t="s">
        <v>53</v>
      </c>
      <c r="U7" t="s">
        <v>151</v>
      </c>
      <c r="V7" t="s">
        <v>105</v>
      </c>
      <c r="W7" t="s">
        <v>232</v>
      </c>
      <c r="X7" t="s">
        <v>233</v>
      </c>
      <c r="Y7">
        <v>1</v>
      </c>
      <c r="AB7">
        <v>0</v>
      </c>
      <c r="AE7">
        <v>0</v>
      </c>
      <c r="AH7">
        <v>0</v>
      </c>
    </row>
    <row r="8" spans="1:34" x14ac:dyDescent="0.3">
      <c r="A8" t="s">
        <v>33</v>
      </c>
      <c r="B8">
        <v>1254794</v>
      </c>
      <c r="C8" t="s">
        <v>234</v>
      </c>
      <c r="D8">
        <v>72</v>
      </c>
      <c r="E8">
        <v>1254794</v>
      </c>
      <c r="F8" t="s">
        <v>235</v>
      </c>
      <c r="G8" s="3" t="s">
        <v>226</v>
      </c>
      <c r="H8" t="s">
        <v>32</v>
      </c>
      <c r="I8" s="1">
        <v>45950</v>
      </c>
      <c r="J8" s="1">
        <v>45977</v>
      </c>
      <c r="K8" s="1">
        <v>45946</v>
      </c>
      <c r="L8">
        <v>1</v>
      </c>
      <c r="M8">
        <v>65.19</v>
      </c>
      <c r="N8">
        <v>0.57499999999999996</v>
      </c>
      <c r="O8">
        <v>37.479999999999997</v>
      </c>
      <c r="P8">
        <v>0</v>
      </c>
      <c r="Q8">
        <v>0</v>
      </c>
      <c r="R8" t="s">
        <v>31</v>
      </c>
      <c r="S8" t="s">
        <v>31</v>
      </c>
      <c r="T8" t="s">
        <v>53</v>
      </c>
      <c r="U8" t="s">
        <v>236</v>
      </c>
      <c r="V8" t="s">
        <v>139</v>
      </c>
      <c r="W8" t="s">
        <v>149</v>
      </c>
      <c r="X8" t="s">
        <v>150</v>
      </c>
      <c r="Y8">
        <v>1</v>
      </c>
      <c r="AB8">
        <v>0</v>
      </c>
      <c r="AE8">
        <v>0</v>
      </c>
      <c r="AH8">
        <v>0</v>
      </c>
    </row>
    <row r="9" spans="1:34" x14ac:dyDescent="0.3">
      <c r="A9" t="s">
        <v>33</v>
      </c>
      <c r="B9">
        <v>1254794</v>
      </c>
      <c r="C9" t="s">
        <v>234</v>
      </c>
      <c r="D9">
        <v>72</v>
      </c>
      <c r="E9">
        <v>1254794</v>
      </c>
      <c r="F9" t="s">
        <v>235</v>
      </c>
      <c r="G9" s="3" t="s">
        <v>226</v>
      </c>
      <c r="H9" t="s">
        <v>32</v>
      </c>
      <c r="I9" s="1">
        <v>45959</v>
      </c>
      <c r="J9" s="1">
        <v>45977</v>
      </c>
      <c r="K9" s="1">
        <v>45946</v>
      </c>
      <c r="L9">
        <v>1</v>
      </c>
      <c r="M9">
        <v>-65.19</v>
      </c>
      <c r="N9">
        <v>0.57499999999999996</v>
      </c>
      <c r="O9">
        <v>-37.479999999999997</v>
      </c>
      <c r="P9">
        <v>0</v>
      </c>
      <c r="Q9">
        <v>0</v>
      </c>
      <c r="R9" t="s">
        <v>31</v>
      </c>
      <c r="S9" t="s">
        <v>31</v>
      </c>
      <c r="T9" t="s">
        <v>53</v>
      </c>
      <c r="U9" t="s">
        <v>236</v>
      </c>
      <c r="V9" t="s">
        <v>139</v>
      </c>
      <c r="W9" t="s">
        <v>149</v>
      </c>
      <c r="X9" t="s">
        <v>150</v>
      </c>
      <c r="Y9">
        <v>1</v>
      </c>
      <c r="AB9">
        <v>0</v>
      </c>
      <c r="AE9">
        <v>0</v>
      </c>
      <c r="AH9">
        <v>0</v>
      </c>
    </row>
    <row r="10" spans="1:34" x14ac:dyDescent="0.3">
      <c r="A10" t="s">
        <v>33</v>
      </c>
      <c r="B10">
        <v>1229522</v>
      </c>
      <c r="C10" t="s">
        <v>147</v>
      </c>
      <c r="D10">
        <v>215</v>
      </c>
      <c r="E10">
        <v>1229522</v>
      </c>
      <c r="F10" t="s">
        <v>148</v>
      </c>
      <c r="G10" s="3" t="s">
        <v>226</v>
      </c>
      <c r="H10" t="s">
        <v>32</v>
      </c>
      <c r="I10" s="1">
        <v>45950</v>
      </c>
      <c r="J10" s="1">
        <v>45985</v>
      </c>
      <c r="K10" s="1">
        <v>45832</v>
      </c>
      <c r="L10">
        <v>1</v>
      </c>
      <c r="M10">
        <v>12.13</v>
      </c>
      <c r="N10">
        <v>0.5</v>
      </c>
      <c r="O10">
        <v>6.07</v>
      </c>
      <c r="P10">
        <v>0</v>
      </c>
      <c r="Q10">
        <v>0</v>
      </c>
      <c r="R10" t="s">
        <v>31</v>
      </c>
      <c r="S10" t="s">
        <v>31</v>
      </c>
      <c r="T10" t="s">
        <v>34</v>
      </c>
      <c r="U10" t="s">
        <v>107</v>
      </c>
      <c r="V10" t="s">
        <v>87</v>
      </c>
      <c r="W10" t="s">
        <v>50</v>
      </c>
      <c r="X10" t="s">
        <v>51</v>
      </c>
      <c r="Y10">
        <v>1</v>
      </c>
      <c r="AB10">
        <v>0</v>
      </c>
      <c r="AE10">
        <v>0</v>
      </c>
      <c r="AH10">
        <v>0</v>
      </c>
    </row>
    <row r="11" spans="1:34" x14ac:dyDescent="0.3">
      <c r="A11" t="s">
        <v>33</v>
      </c>
      <c r="B11">
        <v>1230892</v>
      </c>
      <c r="C11" t="s">
        <v>152</v>
      </c>
      <c r="D11">
        <v>215</v>
      </c>
      <c r="E11">
        <v>1230892</v>
      </c>
      <c r="F11" t="s">
        <v>153</v>
      </c>
      <c r="G11" s="3" t="s">
        <v>226</v>
      </c>
      <c r="H11" t="s">
        <v>32</v>
      </c>
      <c r="I11" s="1">
        <v>45954</v>
      </c>
      <c r="J11" s="1">
        <v>45987</v>
      </c>
      <c r="K11" s="1">
        <v>45834</v>
      </c>
      <c r="L11">
        <v>1</v>
      </c>
      <c r="M11">
        <v>21.68</v>
      </c>
      <c r="N11">
        <v>0.5</v>
      </c>
      <c r="O11">
        <v>10.84</v>
      </c>
      <c r="P11">
        <v>0</v>
      </c>
      <c r="Q11">
        <v>0</v>
      </c>
      <c r="R11" t="s">
        <v>31</v>
      </c>
      <c r="S11" t="s">
        <v>31</v>
      </c>
      <c r="T11" t="s">
        <v>53</v>
      </c>
      <c r="U11" t="s">
        <v>107</v>
      </c>
      <c r="V11" t="s">
        <v>87</v>
      </c>
      <c r="W11" t="s">
        <v>50</v>
      </c>
      <c r="X11" t="s">
        <v>51</v>
      </c>
      <c r="Y11">
        <v>1</v>
      </c>
      <c r="AB11">
        <v>0</v>
      </c>
      <c r="AE11">
        <v>0</v>
      </c>
      <c r="AH11">
        <v>0</v>
      </c>
    </row>
    <row r="12" spans="1:34" x14ac:dyDescent="0.3">
      <c r="A12" t="s">
        <v>33</v>
      </c>
      <c r="B12">
        <v>1207538</v>
      </c>
      <c r="C12" t="s">
        <v>154</v>
      </c>
      <c r="D12">
        <v>216</v>
      </c>
      <c r="E12">
        <v>1207538</v>
      </c>
      <c r="F12" t="s">
        <v>155</v>
      </c>
      <c r="G12" s="3" t="s">
        <v>226</v>
      </c>
      <c r="H12" t="s">
        <v>32</v>
      </c>
      <c r="I12" s="1">
        <v>45952</v>
      </c>
      <c r="J12" s="1">
        <v>45971</v>
      </c>
      <c r="K12" s="1">
        <v>45726</v>
      </c>
      <c r="L12">
        <v>1</v>
      </c>
      <c r="M12">
        <v>143.99</v>
      </c>
      <c r="N12">
        <v>0.57499999999999996</v>
      </c>
      <c r="O12">
        <v>82.79</v>
      </c>
      <c r="P12">
        <v>0</v>
      </c>
      <c r="Q12">
        <v>0</v>
      </c>
      <c r="R12" t="s">
        <v>31</v>
      </c>
      <c r="S12" t="s">
        <v>31</v>
      </c>
      <c r="T12" t="s">
        <v>30</v>
      </c>
      <c r="U12" t="s">
        <v>29</v>
      </c>
      <c r="V12" t="s">
        <v>25</v>
      </c>
      <c r="W12" t="s">
        <v>65</v>
      </c>
      <c r="X12" t="s">
        <v>66</v>
      </c>
      <c r="Y12">
        <v>1</v>
      </c>
      <c r="AB12">
        <v>0</v>
      </c>
      <c r="AE12">
        <v>0</v>
      </c>
      <c r="AH12">
        <v>0</v>
      </c>
    </row>
    <row r="13" spans="1:34" x14ac:dyDescent="0.3">
      <c r="A13" t="s">
        <v>33</v>
      </c>
      <c r="B13">
        <v>1209860</v>
      </c>
      <c r="C13" t="s">
        <v>156</v>
      </c>
      <c r="D13">
        <v>216</v>
      </c>
      <c r="E13">
        <v>1209860</v>
      </c>
      <c r="F13" t="s">
        <v>157</v>
      </c>
      <c r="G13" s="3" t="s">
        <v>226</v>
      </c>
      <c r="H13" t="s">
        <v>32</v>
      </c>
      <c r="I13" s="1">
        <v>45950</v>
      </c>
      <c r="J13" s="1">
        <v>45979</v>
      </c>
      <c r="K13" s="1">
        <v>45734</v>
      </c>
      <c r="L13">
        <v>1</v>
      </c>
      <c r="M13">
        <v>44.35</v>
      </c>
      <c r="N13">
        <v>0.57499999999999996</v>
      </c>
      <c r="O13">
        <v>25.5</v>
      </c>
      <c r="P13">
        <v>0</v>
      </c>
      <c r="Q13">
        <v>0</v>
      </c>
      <c r="R13" t="s">
        <v>31</v>
      </c>
      <c r="S13" t="s">
        <v>31</v>
      </c>
      <c r="T13" t="s">
        <v>68</v>
      </c>
      <c r="U13" t="s">
        <v>120</v>
      </c>
      <c r="V13" t="s">
        <v>26</v>
      </c>
      <c r="W13" t="s">
        <v>65</v>
      </c>
      <c r="X13" t="s">
        <v>66</v>
      </c>
      <c r="Y13">
        <v>1</v>
      </c>
      <c r="AB13">
        <v>0</v>
      </c>
      <c r="AE13">
        <v>0</v>
      </c>
      <c r="AH13">
        <v>0</v>
      </c>
    </row>
    <row r="14" spans="1:34" x14ac:dyDescent="0.3">
      <c r="A14" t="s">
        <v>33</v>
      </c>
      <c r="B14">
        <v>1210903</v>
      </c>
      <c r="C14" t="s">
        <v>158</v>
      </c>
      <c r="D14">
        <v>216</v>
      </c>
      <c r="E14">
        <v>1210903</v>
      </c>
      <c r="F14" t="s">
        <v>159</v>
      </c>
      <c r="G14" s="3" t="s">
        <v>226</v>
      </c>
      <c r="H14" t="s">
        <v>32</v>
      </c>
      <c r="I14" s="1">
        <v>45951</v>
      </c>
      <c r="J14" s="1">
        <v>45982</v>
      </c>
      <c r="K14" s="1">
        <v>45737</v>
      </c>
      <c r="L14">
        <v>1</v>
      </c>
      <c r="M14">
        <v>134.88</v>
      </c>
      <c r="N14">
        <v>0.57499999999999996</v>
      </c>
      <c r="O14">
        <v>77.56</v>
      </c>
      <c r="P14">
        <v>0</v>
      </c>
      <c r="Q14">
        <v>0</v>
      </c>
      <c r="R14" t="s">
        <v>31</v>
      </c>
      <c r="S14" t="s">
        <v>31</v>
      </c>
      <c r="T14" t="s">
        <v>121</v>
      </c>
      <c r="U14" t="s">
        <v>160</v>
      </c>
      <c r="V14" t="s">
        <v>26</v>
      </c>
      <c r="W14" t="s">
        <v>65</v>
      </c>
      <c r="X14" t="s">
        <v>66</v>
      </c>
      <c r="Y14">
        <v>1</v>
      </c>
      <c r="AB14">
        <v>0</v>
      </c>
      <c r="AE14">
        <v>0</v>
      </c>
      <c r="AH14">
        <v>0</v>
      </c>
    </row>
    <row r="15" spans="1:34" x14ac:dyDescent="0.3">
      <c r="A15" t="s">
        <v>33</v>
      </c>
      <c r="B15">
        <v>1208887</v>
      </c>
      <c r="C15" t="s">
        <v>161</v>
      </c>
      <c r="D15">
        <v>216</v>
      </c>
      <c r="E15">
        <v>1208887</v>
      </c>
      <c r="F15" t="s">
        <v>162</v>
      </c>
      <c r="G15" s="3" t="s">
        <v>226</v>
      </c>
      <c r="H15" t="s">
        <v>32</v>
      </c>
      <c r="I15" s="1">
        <v>45947</v>
      </c>
      <c r="J15" s="1">
        <v>45978</v>
      </c>
      <c r="K15" s="1">
        <v>45733</v>
      </c>
      <c r="L15">
        <v>1</v>
      </c>
      <c r="M15">
        <v>59.11</v>
      </c>
      <c r="N15">
        <v>0.57499999999999996</v>
      </c>
      <c r="O15">
        <v>33.99</v>
      </c>
      <c r="P15">
        <v>0</v>
      </c>
      <c r="Q15">
        <v>0</v>
      </c>
      <c r="R15" t="s">
        <v>31</v>
      </c>
      <c r="S15" t="s">
        <v>31</v>
      </c>
      <c r="T15" t="s">
        <v>69</v>
      </c>
      <c r="U15" t="s">
        <v>70</v>
      </c>
      <c r="V15" t="s">
        <v>25</v>
      </c>
      <c r="W15" t="s">
        <v>28</v>
      </c>
      <c r="X15" t="s">
        <v>27</v>
      </c>
      <c r="Y15">
        <v>1</v>
      </c>
      <c r="AB15">
        <v>0</v>
      </c>
      <c r="AE15">
        <v>0</v>
      </c>
      <c r="AH15">
        <v>0</v>
      </c>
    </row>
    <row r="16" spans="1:34" x14ac:dyDescent="0.3">
      <c r="A16" t="s">
        <v>33</v>
      </c>
      <c r="B16">
        <v>1212868</v>
      </c>
      <c r="C16" t="s">
        <v>163</v>
      </c>
      <c r="D16">
        <v>216</v>
      </c>
      <c r="E16">
        <v>1212868</v>
      </c>
      <c r="F16" t="s">
        <v>164</v>
      </c>
      <c r="G16" s="3" t="s">
        <v>226</v>
      </c>
      <c r="H16" t="s">
        <v>32</v>
      </c>
      <c r="I16" s="1">
        <v>45958</v>
      </c>
      <c r="J16" s="1">
        <v>45992</v>
      </c>
      <c r="K16" s="1">
        <v>45748</v>
      </c>
      <c r="L16">
        <v>1</v>
      </c>
      <c r="M16">
        <v>59.19</v>
      </c>
      <c r="N16">
        <v>0.57499999999999996</v>
      </c>
      <c r="O16">
        <v>34.03</v>
      </c>
      <c r="P16">
        <v>0</v>
      </c>
      <c r="Q16">
        <v>0</v>
      </c>
      <c r="R16" t="s">
        <v>31</v>
      </c>
      <c r="S16" t="s">
        <v>31</v>
      </c>
      <c r="T16" t="s">
        <v>53</v>
      </c>
      <c r="U16" t="s">
        <v>134</v>
      </c>
      <c r="V16" t="s">
        <v>54</v>
      </c>
      <c r="W16" t="s">
        <v>135</v>
      </c>
      <c r="X16" t="s">
        <v>136</v>
      </c>
      <c r="Y16">
        <v>1</v>
      </c>
      <c r="AB16">
        <v>0</v>
      </c>
      <c r="AE16">
        <v>0</v>
      </c>
      <c r="AH16">
        <v>0</v>
      </c>
    </row>
    <row r="17" spans="1:34" x14ac:dyDescent="0.3">
      <c r="A17" t="s">
        <v>33</v>
      </c>
      <c r="B17">
        <v>1215325</v>
      </c>
      <c r="C17" t="s">
        <v>165</v>
      </c>
      <c r="D17">
        <v>216</v>
      </c>
      <c r="E17">
        <v>1215325</v>
      </c>
      <c r="F17" t="s">
        <v>166</v>
      </c>
      <c r="G17" s="3" t="s">
        <v>226</v>
      </c>
      <c r="H17" t="s">
        <v>32</v>
      </c>
      <c r="I17" s="1">
        <v>45950</v>
      </c>
      <c r="J17" s="1">
        <v>45970</v>
      </c>
      <c r="K17" s="1">
        <v>45756</v>
      </c>
      <c r="L17">
        <v>1</v>
      </c>
      <c r="M17">
        <v>53.65</v>
      </c>
      <c r="N17">
        <v>0.57499999999999996</v>
      </c>
      <c r="O17">
        <v>30.85</v>
      </c>
      <c r="P17">
        <v>0</v>
      </c>
      <c r="Q17">
        <v>0</v>
      </c>
      <c r="R17" t="s">
        <v>31</v>
      </c>
      <c r="S17" t="s">
        <v>31</v>
      </c>
      <c r="T17" t="s">
        <v>100</v>
      </c>
      <c r="U17" t="s">
        <v>167</v>
      </c>
      <c r="V17" t="s">
        <v>26</v>
      </c>
      <c r="W17" t="s">
        <v>50</v>
      </c>
      <c r="X17" t="s">
        <v>51</v>
      </c>
      <c r="Y17">
        <v>1</v>
      </c>
      <c r="AB17">
        <v>0</v>
      </c>
      <c r="AE17">
        <v>0</v>
      </c>
      <c r="AH17">
        <v>0</v>
      </c>
    </row>
    <row r="18" spans="1:34" x14ac:dyDescent="0.3">
      <c r="A18" t="s">
        <v>33</v>
      </c>
      <c r="B18">
        <v>1216803</v>
      </c>
      <c r="C18" t="s">
        <v>168</v>
      </c>
      <c r="D18">
        <v>216</v>
      </c>
      <c r="E18">
        <v>1216803</v>
      </c>
      <c r="F18" t="s">
        <v>169</v>
      </c>
      <c r="G18" s="3" t="s">
        <v>226</v>
      </c>
      <c r="H18" t="s">
        <v>32</v>
      </c>
      <c r="I18" s="1">
        <v>45947</v>
      </c>
      <c r="J18" s="1">
        <v>45978</v>
      </c>
      <c r="K18" s="1">
        <v>45764</v>
      </c>
      <c r="L18">
        <v>1</v>
      </c>
      <c r="M18">
        <v>100.5</v>
      </c>
      <c r="N18">
        <v>0.57499999999999996</v>
      </c>
      <c r="O18">
        <v>57.79</v>
      </c>
      <c r="P18">
        <v>0</v>
      </c>
      <c r="Q18">
        <v>0</v>
      </c>
      <c r="R18" t="s">
        <v>31</v>
      </c>
      <c r="S18" t="s">
        <v>31</v>
      </c>
      <c r="T18" t="s">
        <v>53</v>
      </c>
      <c r="U18" t="s">
        <v>101</v>
      </c>
      <c r="V18" t="s">
        <v>54</v>
      </c>
      <c r="W18" t="s">
        <v>102</v>
      </c>
      <c r="X18" t="s">
        <v>103</v>
      </c>
      <c r="Y18">
        <v>1</v>
      </c>
      <c r="AB18">
        <v>0</v>
      </c>
      <c r="AE18">
        <v>0</v>
      </c>
      <c r="AH18">
        <v>0</v>
      </c>
    </row>
    <row r="19" spans="1:34" x14ac:dyDescent="0.3">
      <c r="A19" t="s">
        <v>33</v>
      </c>
      <c r="B19">
        <v>1216959</v>
      </c>
      <c r="C19" t="s">
        <v>170</v>
      </c>
      <c r="D19">
        <v>216</v>
      </c>
      <c r="E19">
        <v>1216959</v>
      </c>
      <c r="F19" t="s">
        <v>171</v>
      </c>
      <c r="G19" s="3" t="s">
        <v>226</v>
      </c>
      <c r="H19" t="s">
        <v>32</v>
      </c>
      <c r="I19" s="1">
        <v>45950</v>
      </c>
      <c r="J19" s="1">
        <v>45979</v>
      </c>
      <c r="K19" s="1">
        <v>45765</v>
      </c>
      <c r="L19">
        <v>1</v>
      </c>
      <c r="M19">
        <v>35.75</v>
      </c>
      <c r="N19">
        <v>0.57499999999999996</v>
      </c>
      <c r="O19">
        <v>20.56</v>
      </c>
      <c r="P19">
        <v>0</v>
      </c>
      <c r="Q19">
        <v>0</v>
      </c>
      <c r="R19" t="s">
        <v>31</v>
      </c>
      <c r="S19" t="s">
        <v>31</v>
      </c>
      <c r="T19" t="s">
        <v>48</v>
      </c>
      <c r="U19" t="s">
        <v>70</v>
      </c>
      <c r="V19" t="s">
        <v>25</v>
      </c>
      <c r="W19" t="s">
        <v>28</v>
      </c>
      <c r="X19" t="s">
        <v>27</v>
      </c>
      <c r="Y19">
        <v>1</v>
      </c>
      <c r="AB19">
        <v>0</v>
      </c>
      <c r="AE19">
        <v>0</v>
      </c>
      <c r="AH19">
        <v>0</v>
      </c>
    </row>
    <row r="20" spans="1:34" x14ac:dyDescent="0.3">
      <c r="A20" t="s">
        <v>33</v>
      </c>
      <c r="B20">
        <v>1216964</v>
      </c>
      <c r="C20" t="s">
        <v>172</v>
      </c>
      <c r="D20">
        <v>216</v>
      </c>
      <c r="E20">
        <v>1216964</v>
      </c>
      <c r="F20" t="s">
        <v>173</v>
      </c>
      <c r="G20" s="3" t="s">
        <v>226</v>
      </c>
      <c r="H20" t="s">
        <v>32</v>
      </c>
      <c r="I20" s="1">
        <v>45950</v>
      </c>
      <c r="J20" s="1">
        <v>45979</v>
      </c>
      <c r="K20" s="1">
        <v>45765</v>
      </c>
      <c r="L20">
        <v>1</v>
      </c>
      <c r="M20">
        <v>44.85</v>
      </c>
      <c r="N20">
        <v>0.57499999999999996</v>
      </c>
      <c r="O20">
        <v>25.79</v>
      </c>
      <c r="P20">
        <v>0</v>
      </c>
      <c r="Q20">
        <v>0</v>
      </c>
      <c r="R20" t="s">
        <v>31</v>
      </c>
      <c r="S20" t="s">
        <v>31</v>
      </c>
      <c r="T20" t="s">
        <v>53</v>
      </c>
      <c r="U20" t="s">
        <v>71</v>
      </c>
      <c r="V20" t="s">
        <v>26</v>
      </c>
      <c r="W20" t="s">
        <v>50</v>
      </c>
      <c r="X20" t="s">
        <v>51</v>
      </c>
      <c r="Y20">
        <v>1</v>
      </c>
      <c r="AB20">
        <v>0</v>
      </c>
      <c r="AE20">
        <v>0</v>
      </c>
      <c r="AH20">
        <v>0</v>
      </c>
    </row>
    <row r="21" spans="1:34" x14ac:dyDescent="0.3">
      <c r="A21" t="s">
        <v>33</v>
      </c>
      <c r="B21">
        <v>1216965</v>
      </c>
      <c r="C21" t="s">
        <v>174</v>
      </c>
      <c r="D21">
        <v>216</v>
      </c>
      <c r="E21">
        <v>1216965</v>
      </c>
      <c r="F21" t="s">
        <v>175</v>
      </c>
      <c r="G21" s="3" t="s">
        <v>226</v>
      </c>
      <c r="H21" t="s">
        <v>32</v>
      </c>
      <c r="I21" s="1">
        <v>45950</v>
      </c>
      <c r="J21" s="1">
        <v>45979</v>
      </c>
      <c r="K21" s="1">
        <v>45765</v>
      </c>
      <c r="L21">
        <v>1</v>
      </c>
      <c r="M21">
        <v>35.75</v>
      </c>
      <c r="N21">
        <v>0.57499999999999996</v>
      </c>
      <c r="O21">
        <v>20.56</v>
      </c>
      <c r="P21">
        <v>0</v>
      </c>
      <c r="Q21">
        <v>0</v>
      </c>
      <c r="R21" t="s">
        <v>31</v>
      </c>
      <c r="S21" t="s">
        <v>31</v>
      </c>
      <c r="T21" t="s">
        <v>48</v>
      </c>
      <c r="U21" t="s">
        <v>70</v>
      </c>
      <c r="V21" t="s">
        <v>25</v>
      </c>
      <c r="W21" t="s">
        <v>28</v>
      </c>
      <c r="X21" t="s">
        <v>27</v>
      </c>
      <c r="Y21">
        <v>1</v>
      </c>
      <c r="AB21">
        <v>0</v>
      </c>
      <c r="AE21">
        <v>0</v>
      </c>
      <c r="AH21">
        <v>0</v>
      </c>
    </row>
    <row r="22" spans="1:34" x14ac:dyDescent="0.3">
      <c r="A22" t="s">
        <v>33</v>
      </c>
      <c r="B22">
        <v>1217516</v>
      </c>
      <c r="C22" t="s">
        <v>176</v>
      </c>
      <c r="D22">
        <v>216</v>
      </c>
      <c r="E22">
        <v>1217516</v>
      </c>
      <c r="F22" t="s">
        <v>177</v>
      </c>
      <c r="G22" s="3" t="s">
        <v>226</v>
      </c>
      <c r="H22" t="s">
        <v>32</v>
      </c>
      <c r="I22" s="1">
        <v>45952</v>
      </c>
      <c r="J22" s="1">
        <v>45983</v>
      </c>
      <c r="K22" s="1">
        <v>45769</v>
      </c>
      <c r="L22">
        <v>1</v>
      </c>
      <c r="M22">
        <v>98.75</v>
      </c>
      <c r="N22">
        <v>0.57499999999999996</v>
      </c>
      <c r="O22">
        <v>56.77</v>
      </c>
      <c r="P22">
        <v>0.01</v>
      </c>
      <c r="Q22">
        <v>0</v>
      </c>
      <c r="R22" t="s">
        <v>31</v>
      </c>
      <c r="S22" t="s">
        <v>31</v>
      </c>
      <c r="T22" t="s">
        <v>178</v>
      </c>
      <c r="U22" t="s">
        <v>179</v>
      </c>
      <c r="V22" t="s">
        <v>26</v>
      </c>
      <c r="W22" t="s">
        <v>102</v>
      </c>
      <c r="X22" t="s">
        <v>103</v>
      </c>
      <c r="Y22">
        <v>1</v>
      </c>
      <c r="AB22">
        <v>0</v>
      </c>
      <c r="AE22">
        <v>0</v>
      </c>
      <c r="AH22">
        <v>0</v>
      </c>
    </row>
    <row r="23" spans="1:34" x14ac:dyDescent="0.3">
      <c r="A23" t="s">
        <v>33</v>
      </c>
      <c r="B23">
        <v>1217570</v>
      </c>
      <c r="C23" t="s">
        <v>180</v>
      </c>
      <c r="D23">
        <v>216</v>
      </c>
      <c r="E23">
        <v>1217570</v>
      </c>
      <c r="F23" t="s">
        <v>181</v>
      </c>
      <c r="G23" s="3" t="s">
        <v>226</v>
      </c>
      <c r="H23" t="s">
        <v>32</v>
      </c>
      <c r="I23" s="1">
        <v>45952</v>
      </c>
      <c r="J23" s="1">
        <v>45983</v>
      </c>
      <c r="K23" s="1">
        <v>45769</v>
      </c>
      <c r="L23">
        <v>1</v>
      </c>
      <c r="M23">
        <v>57.91</v>
      </c>
      <c r="N23">
        <v>0.57499999999999996</v>
      </c>
      <c r="O23">
        <v>33.299999999999997</v>
      </c>
      <c r="P23">
        <v>0</v>
      </c>
      <c r="Q23">
        <v>0</v>
      </c>
      <c r="R23" t="s">
        <v>31</v>
      </c>
      <c r="S23" t="s">
        <v>31</v>
      </c>
      <c r="T23" t="s">
        <v>53</v>
      </c>
      <c r="U23" t="s">
        <v>72</v>
      </c>
      <c r="V23" t="s">
        <v>56</v>
      </c>
      <c r="W23" t="s">
        <v>73</v>
      </c>
      <c r="X23" t="s">
        <v>74</v>
      </c>
      <c r="Y23">
        <v>1</v>
      </c>
      <c r="AB23">
        <v>0</v>
      </c>
      <c r="AE23">
        <v>0</v>
      </c>
      <c r="AH23">
        <v>0</v>
      </c>
    </row>
    <row r="24" spans="1:34" x14ac:dyDescent="0.3">
      <c r="A24" t="s">
        <v>33</v>
      </c>
      <c r="B24">
        <v>1217837</v>
      </c>
      <c r="C24" t="s">
        <v>182</v>
      </c>
      <c r="D24">
        <v>216</v>
      </c>
      <c r="E24">
        <v>1217837</v>
      </c>
      <c r="F24" t="s">
        <v>183</v>
      </c>
      <c r="G24" s="3" t="s">
        <v>226</v>
      </c>
      <c r="H24" t="s">
        <v>32</v>
      </c>
      <c r="I24" s="1">
        <v>45952</v>
      </c>
      <c r="J24" s="1">
        <v>45983</v>
      </c>
      <c r="K24" s="1">
        <v>45769</v>
      </c>
      <c r="L24">
        <v>1</v>
      </c>
      <c r="M24">
        <v>57.91</v>
      </c>
      <c r="N24">
        <v>0.57499999999999996</v>
      </c>
      <c r="O24">
        <v>33.299999999999997</v>
      </c>
      <c r="P24">
        <v>0</v>
      </c>
      <c r="Q24">
        <v>0</v>
      </c>
      <c r="R24" t="s">
        <v>31</v>
      </c>
      <c r="S24" t="s">
        <v>31</v>
      </c>
      <c r="T24" t="s">
        <v>100</v>
      </c>
      <c r="U24" t="s">
        <v>184</v>
      </c>
      <c r="V24" t="s">
        <v>56</v>
      </c>
      <c r="W24" t="s">
        <v>73</v>
      </c>
      <c r="X24" t="s">
        <v>74</v>
      </c>
      <c r="Y24">
        <v>1</v>
      </c>
      <c r="AB24">
        <v>0</v>
      </c>
      <c r="AE24">
        <v>0</v>
      </c>
      <c r="AH24">
        <v>0</v>
      </c>
    </row>
    <row r="25" spans="1:34" x14ac:dyDescent="0.3">
      <c r="A25" t="s">
        <v>33</v>
      </c>
      <c r="B25">
        <v>1219133</v>
      </c>
      <c r="C25" t="s">
        <v>237</v>
      </c>
      <c r="D25">
        <v>216</v>
      </c>
      <c r="E25">
        <v>1219133</v>
      </c>
      <c r="F25" t="s">
        <v>238</v>
      </c>
      <c r="G25" s="3" t="s">
        <v>239</v>
      </c>
      <c r="H25" t="s">
        <v>32</v>
      </c>
      <c r="I25" s="1">
        <v>45960</v>
      </c>
      <c r="J25" s="1">
        <v>46054</v>
      </c>
      <c r="K25" s="1">
        <v>45778</v>
      </c>
      <c r="L25">
        <v>1</v>
      </c>
      <c r="M25">
        <v>290.22000000000003</v>
      </c>
      <c r="N25">
        <v>0.57499999999999996</v>
      </c>
      <c r="O25">
        <v>166.88</v>
      </c>
      <c r="P25">
        <v>0</v>
      </c>
      <c r="Q25">
        <v>0</v>
      </c>
      <c r="R25" t="s">
        <v>31</v>
      </c>
      <c r="S25" t="s">
        <v>31</v>
      </c>
      <c r="T25" t="s">
        <v>34</v>
      </c>
      <c r="U25" t="s">
        <v>35</v>
      </c>
      <c r="V25" t="s">
        <v>25</v>
      </c>
      <c r="W25" t="s">
        <v>187</v>
      </c>
      <c r="X25" t="s">
        <v>188</v>
      </c>
      <c r="Y25">
        <v>1</v>
      </c>
      <c r="AB25">
        <v>0</v>
      </c>
      <c r="AE25">
        <v>0</v>
      </c>
      <c r="AH25">
        <v>0</v>
      </c>
    </row>
    <row r="26" spans="1:34" x14ac:dyDescent="0.3">
      <c r="A26" t="s">
        <v>33</v>
      </c>
      <c r="B26">
        <v>1219814</v>
      </c>
      <c r="C26" t="s">
        <v>185</v>
      </c>
      <c r="D26">
        <v>216</v>
      </c>
      <c r="E26">
        <v>1219814</v>
      </c>
      <c r="F26" t="s">
        <v>186</v>
      </c>
      <c r="G26" s="3" t="s">
        <v>226</v>
      </c>
      <c r="H26" t="s">
        <v>32</v>
      </c>
      <c r="I26" s="1">
        <v>45958</v>
      </c>
      <c r="J26" s="1">
        <v>45962</v>
      </c>
      <c r="K26" s="1">
        <v>45778</v>
      </c>
      <c r="L26">
        <v>1</v>
      </c>
      <c r="M26">
        <v>175.2</v>
      </c>
      <c r="N26">
        <v>0.57499999999999996</v>
      </c>
      <c r="O26">
        <v>100.74</v>
      </c>
      <c r="P26">
        <v>0</v>
      </c>
      <c r="Q26">
        <v>0</v>
      </c>
      <c r="R26" t="s">
        <v>31</v>
      </c>
      <c r="S26" t="s">
        <v>31</v>
      </c>
      <c r="T26" t="s">
        <v>34</v>
      </c>
      <c r="U26" t="s">
        <v>35</v>
      </c>
      <c r="V26" t="s">
        <v>25</v>
      </c>
      <c r="W26" t="s">
        <v>187</v>
      </c>
      <c r="X26" t="s">
        <v>188</v>
      </c>
      <c r="Y26">
        <v>1</v>
      </c>
      <c r="AB26">
        <v>0</v>
      </c>
      <c r="AE26">
        <v>0</v>
      </c>
      <c r="AH26">
        <v>0</v>
      </c>
    </row>
    <row r="27" spans="1:34" x14ac:dyDescent="0.3">
      <c r="A27" t="s">
        <v>33</v>
      </c>
      <c r="B27">
        <v>1224087</v>
      </c>
      <c r="C27" t="s">
        <v>189</v>
      </c>
      <c r="D27">
        <v>216</v>
      </c>
      <c r="E27">
        <v>1224087</v>
      </c>
      <c r="F27" t="s">
        <v>190</v>
      </c>
      <c r="G27" s="3" t="s">
        <v>226</v>
      </c>
      <c r="H27" t="s">
        <v>32</v>
      </c>
      <c r="I27" s="1">
        <v>45953</v>
      </c>
      <c r="J27" s="1">
        <v>45984</v>
      </c>
      <c r="K27" s="1">
        <v>45800</v>
      </c>
      <c r="L27">
        <v>1</v>
      </c>
      <c r="M27">
        <v>36.72</v>
      </c>
      <c r="N27">
        <v>0.57499999999999996</v>
      </c>
      <c r="O27">
        <v>21.11</v>
      </c>
      <c r="P27">
        <v>0</v>
      </c>
      <c r="Q27">
        <v>0</v>
      </c>
      <c r="R27" t="s">
        <v>31</v>
      </c>
      <c r="S27" t="s">
        <v>31</v>
      </c>
      <c r="T27" t="s">
        <v>30</v>
      </c>
      <c r="U27" t="s">
        <v>130</v>
      </c>
      <c r="V27" t="s">
        <v>54</v>
      </c>
      <c r="W27" t="s">
        <v>93</v>
      </c>
      <c r="X27" t="s">
        <v>94</v>
      </c>
      <c r="Y27">
        <v>1</v>
      </c>
      <c r="AB27">
        <v>0</v>
      </c>
      <c r="AE27">
        <v>0</v>
      </c>
      <c r="AH27">
        <v>0</v>
      </c>
    </row>
    <row r="28" spans="1:34" x14ac:dyDescent="0.3">
      <c r="A28" t="s">
        <v>33</v>
      </c>
      <c r="B28">
        <v>1224138</v>
      </c>
      <c r="C28" t="s">
        <v>145</v>
      </c>
      <c r="D28">
        <v>216</v>
      </c>
      <c r="E28">
        <v>1224138</v>
      </c>
      <c r="F28" t="s">
        <v>146</v>
      </c>
      <c r="G28" s="3" t="s">
        <v>226</v>
      </c>
      <c r="H28" t="s">
        <v>32</v>
      </c>
      <c r="I28" s="1">
        <v>45953</v>
      </c>
      <c r="J28" s="1">
        <v>45984</v>
      </c>
      <c r="K28" s="1">
        <v>45800</v>
      </c>
      <c r="L28">
        <v>1</v>
      </c>
      <c r="M28">
        <v>38.25</v>
      </c>
      <c r="N28">
        <v>0.57499999999999996</v>
      </c>
      <c r="O28">
        <v>21.99</v>
      </c>
      <c r="P28">
        <v>0</v>
      </c>
      <c r="Q28">
        <v>0</v>
      </c>
      <c r="R28" t="s">
        <v>31</v>
      </c>
      <c r="S28" t="s">
        <v>31</v>
      </c>
      <c r="T28" t="s">
        <v>34</v>
      </c>
      <c r="U28" t="s">
        <v>91</v>
      </c>
      <c r="V28" t="s">
        <v>26</v>
      </c>
      <c r="W28" t="s">
        <v>50</v>
      </c>
      <c r="X28" t="s">
        <v>51</v>
      </c>
      <c r="Y28">
        <v>1</v>
      </c>
      <c r="AB28">
        <v>0</v>
      </c>
      <c r="AE28">
        <v>0</v>
      </c>
      <c r="AH28">
        <v>0</v>
      </c>
    </row>
    <row r="29" spans="1:34" x14ac:dyDescent="0.3">
      <c r="A29" t="s">
        <v>33</v>
      </c>
      <c r="B29">
        <v>1224389</v>
      </c>
      <c r="C29" t="s">
        <v>191</v>
      </c>
      <c r="D29">
        <v>216</v>
      </c>
      <c r="E29">
        <v>1224389</v>
      </c>
      <c r="F29" t="s">
        <v>192</v>
      </c>
      <c r="G29" s="3" t="s">
        <v>226</v>
      </c>
      <c r="H29" t="s">
        <v>32</v>
      </c>
      <c r="I29" s="1">
        <v>45954</v>
      </c>
      <c r="J29" s="1">
        <v>45985</v>
      </c>
      <c r="K29" s="1">
        <v>45801</v>
      </c>
      <c r="L29">
        <v>1</v>
      </c>
      <c r="M29">
        <v>53.28</v>
      </c>
      <c r="N29">
        <v>0.57499999999999996</v>
      </c>
      <c r="O29">
        <v>30.64</v>
      </c>
      <c r="P29">
        <v>0</v>
      </c>
      <c r="Q29">
        <v>0</v>
      </c>
      <c r="R29" t="s">
        <v>31</v>
      </c>
      <c r="S29" t="s">
        <v>31</v>
      </c>
      <c r="T29" t="s">
        <v>34</v>
      </c>
      <c r="U29" t="s">
        <v>91</v>
      </c>
      <c r="V29" t="s">
        <v>26</v>
      </c>
      <c r="W29" t="s">
        <v>65</v>
      </c>
      <c r="X29" t="s">
        <v>66</v>
      </c>
      <c r="Y29">
        <v>1</v>
      </c>
      <c r="AB29">
        <v>0</v>
      </c>
      <c r="AE29">
        <v>0</v>
      </c>
      <c r="AH29">
        <v>0</v>
      </c>
    </row>
    <row r="30" spans="1:34" x14ac:dyDescent="0.3">
      <c r="A30" t="s">
        <v>33</v>
      </c>
      <c r="B30">
        <v>1229524</v>
      </c>
      <c r="C30" t="s">
        <v>147</v>
      </c>
      <c r="D30">
        <v>216</v>
      </c>
      <c r="E30">
        <v>1229524</v>
      </c>
      <c r="F30" t="s">
        <v>148</v>
      </c>
      <c r="G30" s="3" t="s">
        <v>226</v>
      </c>
      <c r="H30" t="s">
        <v>32</v>
      </c>
      <c r="I30" s="1">
        <v>45950</v>
      </c>
      <c r="J30" s="1">
        <v>45980</v>
      </c>
      <c r="K30" s="1">
        <v>45827</v>
      </c>
      <c r="L30">
        <v>1</v>
      </c>
      <c r="M30">
        <v>52.78</v>
      </c>
      <c r="N30">
        <v>0.57499999999999996</v>
      </c>
      <c r="O30">
        <v>30.35</v>
      </c>
      <c r="P30">
        <v>0</v>
      </c>
      <c r="Q30">
        <v>0</v>
      </c>
      <c r="R30" t="s">
        <v>31</v>
      </c>
      <c r="S30" t="s">
        <v>31</v>
      </c>
      <c r="T30" t="s">
        <v>34</v>
      </c>
      <c r="U30" t="s">
        <v>35</v>
      </c>
      <c r="V30" t="s">
        <v>25</v>
      </c>
      <c r="W30" t="s">
        <v>50</v>
      </c>
      <c r="X30" t="s">
        <v>51</v>
      </c>
      <c r="Y30">
        <v>1</v>
      </c>
      <c r="AB30">
        <v>0</v>
      </c>
      <c r="AE30">
        <v>0</v>
      </c>
      <c r="AH30">
        <v>0</v>
      </c>
    </row>
    <row r="31" spans="1:34" x14ac:dyDescent="0.3">
      <c r="A31" t="s">
        <v>33</v>
      </c>
      <c r="B31">
        <v>1229859</v>
      </c>
      <c r="C31" t="s">
        <v>193</v>
      </c>
      <c r="D31">
        <v>216</v>
      </c>
      <c r="E31">
        <v>1229859</v>
      </c>
      <c r="F31" t="s">
        <v>194</v>
      </c>
      <c r="G31" s="3" t="s">
        <v>226</v>
      </c>
      <c r="H31" t="s">
        <v>32</v>
      </c>
      <c r="I31" s="1">
        <v>45951</v>
      </c>
      <c r="J31" s="1">
        <v>45982</v>
      </c>
      <c r="K31" s="1">
        <v>45829</v>
      </c>
      <c r="L31">
        <v>1</v>
      </c>
      <c r="M31">
        <v>60.09</v>
      </c>
      <c r="N31">
        <v>0.57499999999999996</v>
      </c>
      <c r="O31">
        <v>34.549999999999997</v>
      </c>
      <c r="P31">
        <v>0</v>
      </c>
      <c r="Q31">
        <v>0</v>
      </c>
      <c r="R31" t="s">
        <v>31</v>
      </c>
      <c r="S31" t="s">
        <v>31</v>
      </c>
      <c r="T31" t="s">
        <v>30</v>
      </c>
      <c r="U31" t="s">
        <v>90</v>
      </c>
      <c r="V31" t="s">
        <v>26</v>
      </c>
      <c r="W31" t="s">
        <v>65</v>
      </c>
      <c r="X31" t="s">
        <v>66</v>
      </c>
      <c r="Y31">
        <v>1</v>
      </c>
      <c r="AB31">
        <v>0</v>
      </c>
      <c r="AE31">
        <v>0</v>
      </c>
      <c r="AH31">
        <v>0</v>
      </c>
    </row>
    <row r="32" spans="1:34" x14ac:dyDescent="0.3">
      <c r="A32" t="s">
        <v>33</v>
      </c>
      <c r="B32">
        <v>1230893</v>
      </c>
      <c r="C32" t="s">
        <v>152</v>
      </c>
      <c r="D32">
        <v>216</v>
      </c>
      <c r="E32">
        <v>1230893</v>
      </c>
      <c r="F32" t="s">
        <v>153</v>
      </c>
      <c r="G32" s="3" t="s">
        <v>226</v>
      </c>
      <c r="H32" t="s">
        <v>32</v>
      </c>
      <c r="I32" s="1">
        <v>45954</v>
      </c>
      <c r="J32" s="1">
        <v>45987</v>
      </c>
      <c r="K32" s="1">
        <v>45834</v>
      </c>
      <c r="L32">
        <v>1</v>
      </c>
      <c r="M32">
        <v>124.28</v>
      </c>
      <c r="N32">
        <v>0.57499999999999996</v>
      </c>
      <c r="O32">
        <v>71.459999999999994</v>
      </c>
      <c r="P32">
        <v>0</v>
      </c>
      <c r="Q32">
        <v>0</v>
      </c>
      <c r="R32" t="s">
        <v>31</v>
      </c>
      <c r="S32" t="s">
        <v>31</v>
      </c>
      <c r="T32" t="s">
        <v>53</v>
      </c>
      <c r="U32" t="s">
        <v>131</v>
      </c>
      <c r="V32" t="s">
        <v>92</v>
      </c>
      <c r="W32" t="s">
        <v>50</v>
      </c>
      <c r="X32" t="s">
        <v>51</v>
      </c>
      <c r="Y32">
        <v>1</v>
      </c>
      <c r="AB32">
        <v>0</v>
      </c>
      <c r="AE32">
        <v>0</v>
      </c>
      <c r="AH32">
        <v>0</v>
      </c>
    </row>
    <row r="33" spans="1:34" x14ac:dyDescent="0.3">
      <c r="A33" t="s">
        <v>33</v>
      </c>
      <c r="B33">
        <v>1234703</v>
      </c>
      <c r="C33" t="s">
        <v>195</v>
      </c>
      <c r="D33">
        <v>216</v>
      </c>
      <c r="E33">
        <v>1234703</v>
      </c>
      <c r="F33" t="s">
        <v>196</v>
      </c>
      <c r="G33" s="3" t="s">
        <v>226</v>
      </c>
      <c r="H33" t="s">
        <v>32</v>
      </c>
      <c r="I33" s="1">
        <v>45947</v>
      </c>
      <c r="J33" s="1">
        <v>45977</v>
      </c>
      <c r="K33" s="1">
        <v>45854</v>
      </c>
      <c r="L33">
        <v>1</v>
      </c>
      <c r="M33">
        <v>61.03</v>
      </c>
      <c r="N33">
        <v>0.57499999999999996</v>
      </c>
      <c r="O33">
        <v>35.090000000000003</v>
      </c>
      <c r="P33">
        <v>0</v>
      </c>
      <c r="Q33">
        <v>0</v>
      </c>
      <c r="R33" t="s">
        <v>31</v>
      </c>
      <c r="S33" t="s">
        <v>31</v>
      </c>
      <c r="T33" t="s">
        <v>104</v>
      </c>
      <c r="U33" t="s">
        <v>126</v>
      </c>
      <c r="V33" t="s">
        <v>26</v>
      </c>
      <c r="W33" t="s">
        <v>93</v>
      </c>
      <c r="X33" t="s">
        <v>94</v>
      </c>
      <c r="Y33">
        <v>1</v>
      </c>
      <c r="AB33">
        <v>0</v>
      </c>
      <c r="AE33">
        <v>0</v>
      </c>
      <c r="AH33">
        <v>0</v>
      </c>
    </row>
    <row r="34" spans="1:34" x14ac:dyDescent="0.3">
      <c r="A34" t="s">
        <v>33</v>
      </c>
      <c r="B34">
        <v>1234942</v>
      </c>
      <c r="C34" t="s">
        <v>197</v>
      </c>
      <c r="D34">
        <v>216</v>
      </c>
      <c r="E34">
        <v>1234942</v>
      </c>
      <c r="F34" t="s">
        <v>198</v>
      </c>
      <c r="G34" s="3" t="s">
        <v>226</v>
      </c>
      <c r="H34" t="s">
        <v>32</v>
      </c>
      <c r="I34" s="1">
        <v>45947</v>
      </c>
      <c r="J34" s="1">
        <v>45978</v>
      </c>
      <c r="K34" s="1">
        <v>45855</v>
      </c>
      <c r="L34">
        <v>1</v>
      </c>
      <c r="M34">
        <v>64.23</v>
      </c>
      <c r="N34">
        <v>0.57499999999999996</v>
      </c>
      <c r="O34">
        <v>36.93</v>
      </c>
      <c r="P34">
        <v>0</v>
      </c>
      <c r="Q34">
        <v>0</v>
      </c>
      <c r="R34" t="s">
        <v>31</v>
      </c>
      <c r="S34" t="s">
        <v>31</v>
      </c>
      <c r="T34" t="s">
        <v>106</v>
      </c>
      <c r="U34" t="s">
        <v>128</v>
      </c>
      <c r="V34" t="s">
        <v>26</v>
      </c>
      <c r="W34" t="s">
        <v>93</v>
      </c>
      <c r="X34" t="s">
        <v>94</v>
      </c>
      <c r="Y34">
        <v>1</v>
      </c>
      <c r="AB34">
        <v>0</v>
      </c>
      <c r="AE34">
        <v>0</v>
      </c>
      <c r="AH34">
        <v>0</v>
      </c>
    </row>
    <row r="35" spans="1:34" x14ac:dyDescent="0.3">
      <c r="A35" t="s">
        <v>33</v>
      </c>
      <c r="B35">
        <v>1235115</v>
      </c>
      <c r="C35" t="s">
        <v>199</v>
      </c>
      <c r="D35">
        <v>216</v>
      </c>
      <c r="E35">
        <v>1235115</v>
      </c>
      <c r="F35" t="s">
        <v>200</v>
      </c>
      <c r="G35" s="3" t="s">
        <v>226</v>
      </c>
      <c r="H35" t="s">
        <v>32</v>
      </c>
      <c r="I35" s="1">
        <v>45947</v>
      </c>
      <c r="J35" s="1">
        <v>45979</v>
      </c>
      <c r="K35" s="1">
        <v>45856</v>
      </c>
      <c r="L35">
        <v>1</v>
      </c>
      <c r="M35">
        <v>61.98</v>
      </c>
      <c r="N35">
        <v>0.57499999999999996</v>
      </c>
      <c r="O35">
        <v>35.64</v>
      </c>
      <c r="P35">
        <v>0</v>
      </c>
      <c r="Q35">
        <v>0</v>
      </c>
      <c r="R35" t="s">
        <v>31</v>
      </c>
      <c r="S35" t="s">
        <v>31</v>
      </c>
      <c r="T35" t="s">
        <v>34</v>
      </c>
      <c r="U35" t="s">
        <v>91</v>
      </c>
      <c r="V35" t="s">
        <v>26</v>
      </c>
      <c r="W35" t="s">
        <v>73</v>
      </c>
      <c r="X35" t="s">
        <v>74</v>
      </c>
      <c r="Y35">
        <v>1</v>
      </c>
      <c r="AB35">
        <v>0</v>
      </c>
      <c r="AE35">
        <v>0</v>
      </c>
      <c r="AH35">
        <v>0</v>
      </c>
    </row>
    <row r="36" spans="1:34" x14ac:dyDescent="0.3">
      <c r="A36" t="s">
        <v>33</v>
      </c>
      <c r="B36">
        <v>1235327</v>
      </c>
      <c r="C36" t="s">
        <v>201</v>
      </c>
      <c r="D36">
        <v>216</v>
      </c>
      <c r="E36">
        <v>1235327</v>
      </c>
      <c r="F36" t="s">
        <v>202</v>
      </c>
      <c r="G36" s="3" t="s">
        <v>226</v>
      </c>
      <c r="H36" t="s">
        <v>32</v>
      </c>
      <c r="I36" s="1">
        <v>45950</v>
      </c>
      <c r="J36" s="1">
        <v>45979</v>
      </c>
      <c r="K36" s="1">
        <v>45856</v>
      </c>
      <c r="L36">
        <v>1</v>
      </c>
      <c r="M36">
        <v>157.4</v>
      </c>
      <c r="N36">
        <v>0.57499999999999996</v>
      </c>
      <c r="O36">
        <v>90.51</v>
      </c>
      <c r="P36">
        <v>0</v>
      </c>
      <c r="Q36">
        <v>0</v>
      </c>
      <c r="R36" t="s">
        <v>31</v>
      </c>
      <c r="S36" t="s">
        <v>31</v>
      </c>
      <c r="T36" t="s">
        <v>34</v>
      </c>
      <c r="U36" t="s">
        <v>91</v>
      </c>
      <c r="V36" t="s">
        <v>26</v>
      </c>
      <c r="W36" t="s">
        <v>132</v>
      </c>
      <c r="X36" t="s">
        <v>133</v>
      </c>
      <c r="Y36">
        <v>1</v>
      </c>
      <c r="AB36">
        <v>0</v>
      </c>
      <c r="AE36">
        <v>0</v>
      </c>
      <c r="AH36">
        <v>0</v>
      </c>
    </row>
    <row r="37" spans="1:34" x14ac:dyDescent="0.3">
      <c r="A37" t="s">
        <v>33</v>
      </c>
      <c r="B37">
        <v>1239460</v>
      </c>
      <c r="C37" t="s">
        <v>203</v>
      </c>
      <c r="D37">
        <v>216</v>
      </c>
      <c r="E37">
        <v>1239460</v>
      </c>
      <c r="F37" t="s">
        <v>204</v>
      </c>
      <c r="G37" s="3" t="s">
        <v>226</v>
      </c>
      <c r="H37" t="s">
        <v>32</v>
      </c>
      <c r="I37" s="1">
        <v>45958</v>
      </c>
      <c r="J37" s="1">
        <v>45962</v>
      </c>
      <c r="K37" s="1">
        <v>45901</v>
      </c>
      <c r="L37">
        <v>1</v>
      </c>
      <c r="M37">
        <v>38.909999999999997</v>
      </c>
      <c r="N37">
        <v>0.57499999999999996</v>
      </c>
      <c r="O37">
        <v>22.37</v>
      </c>
      <c r="P37">
        <v>0</v>
      </c>
      <c r="Q37">
        <v>0</v>
      </c>
      <c r="R37" t="s">
        <v>31</v>
      </c>
      <c r="S37" t="s">
        <v>31</v>
      </c>
      <c r="T37" t="s">
        <v>137</v>
      </c>
      <c r="U37" t="s">
        <v>142</v>
      </c>
      <c r="V37" t="s">
        <v>56</v>
      </c>
      <c r="W37" t="s">
        <v>73</v>
      </c>
      <c r="X37" t="s">
        <v>74</v>
      </c>
      <c r="Y37">
        <v>1</v>
      </c>
      <c r="AB37">
        <v>0</v>
      </c>
      <c r="AE37">
        <v>0</v>
      </c>
      <c r="AH37">
        <v>0</v>
      </c>
    </row>
    <row r="38" spans="1:34" x14ac:dyDescent="0.3">
      <c r="A38" t="s">
        <v>33</v>
      </c>
      <c r="B38">
        <v>1239813</v>
      </c>
      <c r="C38" t="s">
        <v>240</v>
      </c>
      <c r="D38">
        <v>216</v>
      </c>
      <c r="E38">
        <v>1239813</v>
      </c>
      <c r="F38" t="s">
        <v>241</v>
      </c>
      <c r="G38" s="3" t="s">
        <v>226</v>
      </c>
      <c r="H38" t="s">
        <v>32</v>
      </c>
      <c r="I38" s="1">
        <v>45954</v>
      </c>
      <c r="J38" s="1">
        <v>45939</v>
      </c>
      <c r="K38" s="1">
        <v>45878</v>
      </c>
      <c r="L38">
        <v>1</v>
      </c>
      <c r="M38">
        <v>-61.98</v>
      </c>
      <c r="N38">
        <v>0.57499999999999996</v>
      </c>
      <c r="O38">
        <v>-35.64</v>
      </c>
      <c r="P38">
        <v>0</v>
      </c>
      <c r="Q38">
        <v>0</v>
      </c>
      <c r="R38" t="s">
        <v>31</v>
      </c>
      <c r="S38" t="s">
        <v>31</v>
      </c>
      <c r="T38" t="s">
        <v>34</v>
      </c>
      <c r="U38" t="s">
        <v>91</v>
      </c>
      <c r="V38" t="s">
        <v>26</v>
      </c>
      <c r="W38" t="s">
        <v>65</v>
      </c>
      <c r="X38" t="s">
        <v>66</v>
      </c>
      <c r="Y38">
        <v>1</v>
      </c>
      <c r="AB38">
        <v>0</v>
      </c>
      <c r="AE38">
        <v>0</v>
      </c>
      <c r="AH38">
        <v>0</v>
      </c>
    </row>
    <row r="39" spans="1:34" x14ac:dyDescent="0.3">
      <c r="A39" t="s">
        <v>33</v>
      </c>
      <c r="B39">
        <v>1241244</v>
      </c>
      <c r="C39" t="s">
        <v>242</v>
      </c>
      <c r="D39">
        <v>216</v>
      </c>
      <c r="E39">
        <v>1241244</v>
      </c>
      <c r="F39" t="s">
        <v>243</v>
      </c>
      <c r="G39" s="3" t="s">
        <v>226</v>
      </c>
      <c r="H39" t="s">
        <v>32</v>
      </c>
      <c r="I39" s="1">
        <v>45951</v>
      </c>
      <c r="J39" s="1">
        <v>45976</v>
      </c>
      <c r="K39" s="1">
        <v>45884</v>
      </c>
      <c r="L39">
        <v>1</v>
      </c>
      <c r="M39">
        <v>33.06</v>
      </c>
      <c r="N39">
        <v>0.57499999999999996</v>
      </c>
      <c r="O39">
        <v>19.010000000000002</v>
      </c>
      <c r="P39">
        <v>0</v>
      </c>
      <c r="Q39">
        <v>0</v>
      </c>
      <c r="R39" t="s">
        <v>31</v>
      </c>
      <c r="S39" t="s">
        <v>31</v>
      </c>
      <c r="T39" t="s">
        <v>34</v>
      </c>
      <c r="U39" t="s">
        <v>244</v>
      </c>
      <c r="V39" t="s">
        <v>92</v>
      </c>
      <c r="W39" t="s">
        <v>132</v>
      </c>
      <c r="X39" t="s">
        <v>133</v>
      </c>
      <c r="Y39">
        <v>1</v>
      </c>
      <c r="AB39">
        <v>0</v>
      </c>
      <c r="AE39">
        <v>0</v>
      </c>
      <c r="AH39">
        <v>0</v>
      </c>
    </row>
    <row r="40" spans="1:34" x14ac:dyDescent="0.3">
      <c r="A40" t="s">
        <v>33</v>
      </c>
      <c r="B40">
        <v>1242462</v>
      </c>
      <c r="C40" t="s">
        <v>205</v>
      </c>
      <c r="D40">
        <v>216</v>
      </c>
      <c r="E40">
        <v>1242462</v>
      </c>
      <c r="F40" t="s">
        <v>206</v>
      </c>
      <c r="G40" s="3" t="s">
        <v>226</v>
      </c>
      <c r="H40" t="s">
        <v>32</v>
      </c>
      <c r="I40" s="1">
        <v>45951</v>
      </c>
      <c r="J40" s="1">
        <v>45982</v>
      </c>
      <c r="K40" s="1">
        <v>45890</v>
      </c>
      <c r="L40">
        <v>1</v>
      </c>
      <c r="M40">
        <v>44.82</v>
      </c>
      <c r="N40">
        <v>0.57499999999999996</v>
      </c>
      <c r="O40">
        <v>25.77</v>
      </c>
      <c r="P40">
        <v>0</v>
      </c>
      <c r="Q40">
        <v>0</v>
      </c>
      <c r="R40" t="s">
        <v>31</v>
      </c>
      <c r="S40" t="s">
        <v>31</v>
      </c>
      <c r="T40" t="s">
        <v>53</v>
      </c>
      <c r="U40" t="s">
        <v>101</v>
      </c>
      <c r="V40" t="s">
        <v>54</v>
      </c>
      <c r="W40" t="s">
        <v>132</v>
      </c>
      <c r="X40" t="s">
        <v>133</v>
      </c>
      <c r="Y40">
        <v>1</v>
      </c>
      <c r="AB40">
        <v>0</v>
      </c>
      <c r="AE40">
        <v>0</v>
      </c>
      <c r="AH40">
        <v>0</v>
      </c>
    </row>
    <row r="41" spans="1:34" x14ac:dyDescent="0.3">
      <c r="A41" t="s">
        <v>33</v>
      </c>
      <c r="B41">
        <v>1242936</v>
      </c>
      <c r="C41" t="s">
        <v>207</v>
      </c>
      <c r="D41">
        <v>216</v>
      </c>
      <c r="E41">
        <v>1242936</v>
      </c>
      <c r="F41" t="s">
        <v>208</v>
      </c>
      <c r="G41" s="3" t="s">
        <v>226</v>
      </c>
      <c r="H41" t="s">
        <v>32</v>
      </c>
      <c r="I41" s="1">
        <v>45953</v>
      </c>
      <c r="J41" s="1">
        <v>45984</v>
      </c>
      <c r="K41" s="1">
        <v>45892</v>
      </c>
      <c r="L41">
        <v>1</v>
      </c>
      <c r="M41">
        <v>34.299999999999997</v>
      </c>
      <c r="N41">
        <v>0.57499999999999996</v>
      </c>
      <c r="O41">
        <v>19.72</v>
      </c>
      <c r="P41">
        <v>0</v>
      </c>
      <c r="Q41">
        <v>0</v>
      </c>
      <c r="R41" t="s">
        <v>31</v>
      </c>
      <c r="S41" t="s">
        <v>31</v>
      </c>
      <c r="T41" t="s">
        <v>48</v>
      </c>
      <c r="U41" t="s">
        <v>209</v>
      </c>
      <c r="V41" t="s">
        <v>92</v>
      </c>
      <c r="W41" t="s">
        <v>132</v>
      </c>
      <c r="X41" t="s">
        <v>133</v>
      </c>
      <c r="Y41">
        <v>1</v>
      </c>
      <c r="AB41">
        <v>0</v>
      </c>
      <c r="AE41">
        <v>0</v>
      </c>
      <c r="AH41">
        <v>0</v>
      </c>
    </row>
    <row r="42" spans="1:34" x14ac:dyDescent="0.3">
      <c r="A42" t="s">
        <v>33</v>
      </c>
      <c r="B42">
        <v>1244290</v>
      </c>
      <c r="C42" t="s">
        <v>245</v>
      </c>
      <c r="D42">
        <v>216</v>
      </c>
      <c r="E42">
        <v>1244290</v>
      </c>
      <c r="F42" t="s">
        <v>246</v>
      </c>
      <c r="G42" s="3" t="s">
        <v>226</v>
      </c>
      <c r="H42" t="s">
        <v>32</v>
      </c>
      <c r="I42" s="1">
        <v>45958</v>
      </c>
      <c r="J42" s="1">
        <v>45962</v>
      </c>
      <c r="K42" s="1">
        <v>45901</v>
      </c>
      <c r="L42">
        <v>1</v>
      </c>
      <c r="M42">
        <v>55.53</v>
      </c>
      <c r="N42">
        <v>0.57499999999999996</v>
      </c>
      <c r="O42">
        <v>0</v>
      </c>
      <c r="P42">
        <v>31.93</v>
      </c>
      <c r="Q42">
        <v>0</v>
      </c>
      <c r="R42" t="s">
        <v>31</v>
      </c>
      <c r="S42" t="s">
        <v>31</v>
      </c>
      <c r="T42" t="s">
        <v>48</v>
      </c>
      <c r="U42" t="s">
        <v>126</v>
      </c>
      <c r="V42" t="s">
        <v>26</v>
      </c>
      <c r="W42" t="s">
        <v>132</v>
      </c>
      <c r="X42" t="s">
        <v>133</v>
      </c>
      <c r="Y42">
        <v>1</v>
      </c>
      <c r="AB42">
        <v>0</v>
      </c>
      <c r="AE42">
        <v>0</v>
      </c>
      <c r="AH42">
        <v>0</v>
      </c>
    </row>
    <row r="43" spans="1:34" x14ac:dyDescent="0.3">
      <c r="A43" t="s">
        <v>33</v>
      </c>
      <c r="B43">
        <v>1247963</v>
      </c>
      <c r="C43" t="s">
        <v>247</v>
      </c>
      <c r="D43">
        <v>216</v>
      </c>
      <c r="E43">
        <v>1247963</v>
      </c>
      <c r="F43" t="s">
        <v>248</v>
      </c>
      <c r="G43" s="3" t="s">
        <v>226</v>
      </c>
      <c r="H43" t="s">
        <v>32</v>
      </c>
      <c r="I43" s="1">
        <v>45951</v>
      </c>
      <c r="J43" s="1">
        <v>45962</v>
      </c>
      <c r="K43" s="1">
        <v>45931</v>
      </c>
      <c r="L43">
        <v>1</v>
      </c>
      <c r="M43">
        <v>-71.17</v>
      </c>
      <c r="N43">
        <v>0.57499999999999996</v>
      </c>
      <c r="O43">
        <v>-40.92</v>
      </c>
      <c r="P43">
        <v>0</v>
      </c>
      <c r="Q43">
        <v>0</v>
      </c>
      <c r="R43" t="s">
        <v>31</v>
      </c>
      <c r="S43" t="s">
        <v>31</v>
      </c>
      <c r="T43" t="s">
        <v>53</v>
      </c>
      <c r="U43" t="s">
        <v>71</v>
      </c>
      <c r="V43" t="s">
        <v>26</v>
      </c>
      <c r="W43" t="s">
        <v>212</v>
      </c>
      <c r="X43" t="s">
        <v>213</v>
      </c>
      <c r="Y43">
        <v>0</v>
      </c>
      <c r="AB43">
        <v>0</v>
      </c>
      <c r="AE43">
        <v>0</v>
      </c>
      <c r="AH43">
        <v>0</v>
      </c>
    </row>
    <row r="44" spans="1:34" x14ac:dyDescent="0.3">
      <c r="A44" t="s">
        <v>33</v>
      </c>
      <c r="B44">
        <v>1248586</v>
      </c>
      <c r="C44" t="s">
        <v>216</v>
      </c>
      <c r="D44">
        <v>216</v>
      </c>
      <c r="E44">
        <v>1248586</v>
      </c>
      <c r="F44" t="s">
        <v>217</v>
      </c>
      <c r="G44" s="3" t="s">
        <v>226</v>
      </c>
      <c r="H44" t="s">
        <v>32</v>
      </c>
      <c r="I44" s="1">
        <v>45950</v>
      </c>
      <c r="J44" s="1">
        <v>45982</v>
      </c>
      <c r="K44" s="1">
        <v>45921</v>
      </c>
      <c r="L44">
        <v>1</v>
      </c>
      <c r="M44">
        <v>57.98</v>
      </c>
      <c r="N44">
        <v>0.57499999999999996</v>
      </c>
      <c r="O44">
        <v>33.340000000000003</v>
      </c>
      <c r="P44">
        <v>0</v>
      </c>
      <c r="Q44">
        <v>0</v>
      </c>
      <c r="R44" t="s">
        <v>31</v>
      </c>
      <c r="S44" t="s">
        <v>31</v>
      </c>
      <c r="T44" t="s">
        <v>53</v>
      </c>
      <c r="U44" t="s">
        <v>71</v>
      </c>
      <c r="V44" t="s">
        <v>26</v>
      </c>
      <c r="W44" t="s">
        <v>85</v>
      </c>
      <c r="X44" t="s">
        <v>86</v>
      </c>
      <c r="Y44">
        <v>1</v>
      </c>
      <c r="AB44">
        <v>0</v>
      </c>
      <c r="AE44">
        <v>0</v>
      </c>
      <c r="AH44">
        <v>0</v>
      </c>
    </row>
    <row r="45" spans="1:34" x14ac:dyDescent="0.3">
      <c r="A45" t="s">
        <v>33</v>
      </c>
      <c r="B45">
        <v>1248586</v>
      </c>
      <c r="C45" t="s">
        <v>216</v>
      </c>
      <c r="D45">
        <v>216</v>
      </c>
      <c r="E45">
        <v>1248586</v>
      </c>
      <c r="F45" t="s">
        <v>217</v>
      </c>
      <c r="G45" s="3" t="s">
        <v>226</v>
      </c>
      <c r="H45" t="s">
        <v>32</v>
      </c>
      <c r="I45" s="1">
        <v>45957</v>
      </c>
      <c r="J45" s="1">
        <v>45982</v>
      </c>
      <c r="K45" s="1">
        <v>45921</v>
      </c>
      <c r="L45">
        <v>1</v>
      </c>
      <c r="M45">
        <v>-57.98</v>
      </c>
      <c r="N45">
        <v>0.57499999999999996</v>
      </c>
      <c r="O45">
        <v>-33.340000000000003</v>
      </c>
      <c r="P45">
        <v>0</v>
      </c>
      <c r="Q45">
        <v>0</v>
      </c>
      <c r="R45" t="s">
        <v>31</v>
      </c>
      <c r="S45" t="s">
        <v>31</v>
      </c>
      <c r="T45" t="s">
        <v>53</v>
      </c>
      <c r="U45" t="s">
        <v>71</v>
      </c>
      <c r="V45" t="s">
        <v>26</v>
      </c>
      <c r="W45" t="s">
        <v>85</v>
      </c>
      <c r="X45" t="s">
        <v>86</v>
      </c>
      <c r="Y45">
        <v>1</v>
      </c>
      <c r="AB45">
        <v>0</v>
      </c>
      <c r="AE45">
        <v>0</v>
      </c>
      <c r="AH45">
        <v>0</v>
      </c>
    </row>
    <row r="46" spans="1:34" x14ac:dyDescent="0.3">
      <c r="A46" t="s">
        <v>33</v>
      </c>
      <c r="B46">
        <v>1248924</v>
      </c>
      <c r="C46" t="s">
        <v>218</v>
      </c>
      <c r="D46">
        <v>216</v>
      </c>
      <c r="E46">
        <v>1248924</v>
      </c>
      <c r="F46" t="s">
        <v>219</v>
      </c>
      <c r="G46" s="3" t="s">
        <v>226</v>
      </c>
      <c r="H46" t="s">
        <v>32</v>
      </c>
      <c r="I46" s="1">
        <v>45950</v>
      </c>
      <c r="J46" s="1">
        <v>45981</v>
      </c>
      <c r="K46" s="1">
        <v>45920</v>
      </c>
      <c r="L46">
        <v>1</v>
      </c>
      <c r="M46">
        <v>34.299999999999997</v>
      </c>
      <c r="N46">
        <v>0.57499999999999996</v>
      </c>
      <c r="O46">
        <v>19.72</v>
      </c>
      <c r="P46">
        <v>0</v>
      </c>
      <c r="Q46">
        <v>0</v>
      </c>
      <c r="R46" t="s">
        <v>31</v>
      </c>
      <c r="S46" t="s">
        <v>31</v>
      </c>
      <c r="T46" t="s">
        <v>48</v>
      </c>
      <c r="U46" t="s">
        <v>209</v>
      </c>
      <c r="V46" t="s">
        <v>92</v>
      </c>
      <c r="W46" t="s">
        <v>132</v>
      </c>
      <c r="X46" t="s">
        <v>133</v>
      </c>
      <c r="Y46">
        <v>1</v>
      </c>
      <c r="AB46">
        <v>0</v>
      </c>
      <c r="AE46">
        <v>0</v>
      </c>
      <c r="AH46">
        <v>0</v>
      </c>
    </row>
    <row r="47" spans="1:34" x14ac:dyDescent="0.3">
      <c r="A47" t="s">
        <v>33</v>
      </c>
      <c r="B47">
        <v>1248988</v>
      </c>
      <c r="C47" t="s">
        <v>220</v>
      </c>
      <c r="D47">
        <v>216</v>
      </c>
      <c r="E47">
        <v>1248988</v>
      </c>
      <c r="F47" t="s">
        <v>221</v>
      </c>
      <c r="G47" s="3" t="s">
        <v>226</v>
      </c>
      <c r="H47" t="s">
        <v>32</v>
      </c>
      <c r="I47" s="1">
        <v>45950</v>
      </c>
      <c r="J47" s="1">
        <v>45981</v>
      </c>
      <c r="K47" s="1">
        <v>45920</v>
      </c>
      <c r="L47">
        <v>1</v>
      </c>
      <c r="M47">
        <v>40.619999999999997</v>
      </c>
      <c r="N47">
        <v>0.57499999999999996</v>
      </c>
      <c r="O47">
        <v>23.36</v>
      </c>
      <c r="P47">
        <v>0</v>
      </c>
      <c r="Q47">
        <v>0</v>
      </c>
      <c r="R47" t="s">
        <v>31</v>
      </c>
      <c r="S47" t="s">
        <v>31</v>
      </c>
      <c r="T47" t="s">
        <v>34</v>
      </c>
      <c r="U47" t="s">
        <v>125</v>
      </c>
      <c r="V47" t="s">
        <v>56</v>
      </c>
      <c r="W47" t="s">
        <v>28</v>
      </c>
      <c r="X47" t="s">
        <v>27</v>
      </c>
      <c r="Y47">
        <v>1</v>
      </c>
      <c r="AB47">
        <v>0</v>
      </c>
      <c r="AE47">
        <v>0</v>
      </c>
      <c r="AH47">
        <v>0</v>
      </c>
    </row>
    <row r="48" spans="1:34" x14ac:dyDescent="0.3">
      <c r="A48" t="s">
        <v>33</v>
      </c>
      <c r="B48">
        <v>1249193</v>
      </c>
      <c r="C48" t="s">
        <v>249</v>
      </c>
      <c r="D48">
        <v>216</v>
      </c>
      <c r="E48">
        <v>1249193</v>
      </c>
      <c r="F48" t="s">
        <v>250</v>
      </c>
      <c r="G48" s="3" t="s">
        <v>226</v>
      </c>
      <c r="H48" t="s">
        <v>32</v>
      </c>
      <c r="I48" s="1">
        <v>45951</v>
      </c>
      <c r="J48" s="1">
        <v>45962</v>
      </c>
      <c r="K48" s="1">
        <v>45931</v>
      </c>
      <c r="L48">
        <v>1</v>
      </c>
      <c r="M48">
        <v>-40.17</v>
      </c>
      <c r="N48">
        <v>0.57499999999999996</v>
      </c>
      <c r="O48">
        <v>0</v>
      </c>
      <c r="P48">
        <v>-23.1</v>
      </c>
      <c r="Q48">
        <v>0</v>
      </c>
      <c r="R48" t="s">
        <v>31</v>
      </c>
      <c r="S48" t="s">
        <v>31</v>
      </c>
      <c r="T48" t="s">
        <v>30</v>
      </c>
      <c r="U48" t="s">
        <v>90</v>
      </c>
      <c r="V48" t="s">
        <v>26</v>
      </c>
      <c r="W48" t="s">
        <v>212</v>
      </c>
      <c r="X48" t="s">
        <v>213</v>
      </c>
      <c r="Y48">
        <v>0</v>
      </c>
      <c r="AB48">
        <v>0</v>
      </c>
      <c r="AE48">
        <v>0</v>
      </c>
      <c r="AH48">
        <v>0</v>
      </c>
    </row>
    <row r="49" spans="1:34" x14ac:dyDescent="0.3">
      <c r="A49" t="s">
        <v>33</v>
      </c>
      <c r="B49">
        <v>1249377</v>
      </c>
      <c r="C49" t="s">
        <v>222</v>
      </c>
      <c r="D49">
        <v>216</v>
      </c>
      <c r="E49">
        <v>1249377</v>
      </c>
      <c r="F49" t="s">
        <v>223</v>
      </c>
      <c r="G49" s="3" t="s">
        <v>226</v>
      </c>
      <c r="H49" t="s">
        <v>32</v>
      </c>
      <c r="I49" s="1">
        <v>45953</v>
      </c>
      <c r="J49" s="1">
        <v>45984</v>
      </c>
      <c r="K49" s="1">
        <v>45923</v>
      </c>
      <c r="L49">
        <v>1</v>
      </c>
      <c r="M49">
        <v>43.68</v>
      </c>
      <c r="N49">
        <v>0.57499999999999996</v>
      </c>
      <c r="O49">
        <v>25.12</v>
      </c>
      <c r="P49">
        <v>0</v>
      </c>
      <c r="Q49">
        <v>0</v>
      </c>
      <c r="R49" t="s">
        <v>31</v>
      </c>
      <c r="S49" t="s">
        <v>31</v>
      </c>
      <c r="T49" t="s">
        <v>68</v>
      </c>
      <c r="U49" t="s">
        <v>120</v>
      </c>
      <c r="V49" t="s">
        <v>26</v>
      </c>
      <c r="W49" t="s">
        <v>149</v>
      </c>
      <c r="X49" t="s">
        <v>150</v>
      </c>
      <c r="Y49">
        <v>1</v>
      </c>
      <c r="AB49">
        <v>0</v>
      </c>
      <c r="AE49">
        <v>0</v>
      </c>
      <c r="AH49">
        <v>0</v>
      </c>
    </row>
    <row r="50" spans="1:34" x14ac:dyDescent="0.3">
      <c r="A50" t="s">
        <v>33</v>
      </c>
      <c r="B50">
        <v>1249869</v>
      </c>
      <c r="C50" t="s">
        <v>224</v>
      </c>
      <c r="D50">
        <v>216</v>
      </c>
      <c r="E50">
        <v>1249869</v>
      </c>
      <c r="F50" t="s">
        <v>225</v>
      </c>
      <c r="G50" s="3" t="s">
        <v>226</v>
      </c>
      <c r="H50" t="s">
        <v>32</v>
      </c>
      <c r="I50" s="1">
        <v>45954</v>
      </c>
      <c r="J50" s="1">
        <v>45986</v>
      </c>
      <c r="K50" s="1">
        <v>45925</v>
      </c>
      <c r="L50">
        <v>1</v>
      </c>
      <c r="M50">
        <v>57.98</v>
      </c>
      <c r="N50">
        <v>0.57499999999999996</v>
      </c>
      <c r="O50">
        <v>33.340000000000003</v>
      </c>
      <c r="P50">
        <v>0</v>
      </c>
      <c r="Q50">
        <v>0</v>
      </c>
      <c r="R50" t="s">
        <v>31</v>
      </c>
      <c r="S50" t="s">
        <v>31</v>
      </c>
      <c r="T50" t="s">
        <v>53</v>
      </c>
      <c r="U50" t="s">
        <v>71</v>
      </c>
      <c r="V50" t="s">
        <v>26</v>
      </c>
      <c r="W50" t="s">
        <v>214</v>
      </c>
      <c r="X50" t="s">
        <v>215</v>
      </c>
      <c r="Y50">
        <v>1</v>
      </c>
      <c r="AB50">
        <v>0</v>
      </c>
      <c r="AE50">
        <v>0</v>
      </c>
      <c r="AH50">
        <v>0</v>
      </c>
    </row>
    <row r="51" spans="1:34" x14ac:dyDescent="0.3">
      <c r="A51" t="s">
        <v>33</v>
      </c>
      <c r="B51">
        <v>1250326</v>
      </c>
      <c r="C51" t="s">
        <v>251</v>
      </c>
      <c r="D51">
        <v>216</v>
      </c>
      <c r="E51">
        <v>1250326</v>
      </c>
      <c r="F51" t="s">
        <v>252</v>
      </c>
      <c r="G51" s="3" t="s">
        <v>226</v>
      </c>
      <c r="H51" t="s">
        <v>32</v>
      </c>
      <c r="I51" s="1">
        <v>45947</v>
      </c>
      <c r="J51" s="1">
        <v>45971</v>
      </c>
      <c r="K51" s="1">
        <v>45940</v>
      </c>
      <c r="L51">
        <v>1</v>
      </c>
      <c r="M51">
        <v>-62.47</v>
      </c>
      <c r="N51">
        <v>0.57499999999999996</v>
      </c>
      <c r="O51">
        <v>-35.92</v>
      </c>
      <c r="P51">
        <v>0</v>
      </c>
      <c r="Q51">
        <v>0</v>
      </c>
      <c r="R51" t="s">
        <v>31</v>
      </c>
      <c r="S51" t="s">
        <v>31</v>
      </c>
      <c r="T51" t="s">
        <v>53</v>
      </c>
      <c r="U51" t="s">
        <v>71</v>
      </c>
      <c r="V51" t="s">
        <v>26</v>
      </c>
      <c r="W51" t="s">
        <v>140</v>
      </c>
      <c r="X51" t="s">
        <v>141</v>
      </c>
      <c r="Y51">
        <v>1</v>
      </c>
      <c r="AB51">
        <v>0</v>
      </c>
      <c r="AE51">
        <v>0</v>
      </c>
      <c r="AH51">
        <v>0</v>
      </c>
    </row>
    <row r="52" spans="1:34" x14ac:dyDescent="0.3">
      <c r="A52" t="s">
        <v>33</v>
      </c>
      <c r="B52">
        <v>1250440</v>
      </c>
      <c r="C52" t="s">
        <v>253</v>
      </c>
      <c r="D52">
        <v>216</v>
      </c>
      <c r="E52">
        <v>1250440</v>
      </c>
      <c r="F52" t="s">
        <v>254</v>
      </c>
      <c r="G52" s="3" t="s">
        <v>226</v>
      </c>
      <c r="H52" t="s">
        <v>32</v>
      </c>
      <c r="I52" s="1">
        <v>45951</v>
      </c>
      <c r="J52" s="1">
        <v>45971</v>
      </c>
      <c r="K52" s="1">
        <v>45940</v>
      </c>
      <c r="L52">
        <v>1</v>
      </c>
      <c r="M52">
        <v>-56.8</v>
      </c>
      <c r="N52">
        <v>0.57499999999999996</v>
      </c>
      <c r="O52">
        <v>0</v>
      </c>
      <c r="P52">
        <v>-32.659999999999997</v>
      </c>
      <c r="Q52">
        <v>0</v>
      </c>
      <c r="R52" t="s">
        <v>31</v>
      </c>
      <c r="S52" t="s">
        <v>31</v>
      </c>
      <c r="T52" t="s">
        <v>53</v>
      </c>
      <c r="U52" t="s">
        <v>101</v>
      </c>
      <c r="V52" t="s">
        <v>54</v>
      </c>
      <c r="W52" t="s">
        <v>140</v>
      </c>
      <c r="X52" t="s">
        <v>141</v>
      </c>
      <c r="Y52">
        <v>1</v>
      </c>
      <c r="AB52">
        <v>0</v>
      </c>
      <c r="AE52">
        <v>0</v>
      </c>
      <c r="AH52">
        <v>0</v>
      </c>
    </row>
    <row r="53" spans="1:34" x14ac:dyDescent="0.3">
      <c r="A53" t="s">
        <v>33</v>
      </c>
      <c r="B53">
        <v>1251926</v>
      </c>
      <c r="C53" t="s">
        <v>255</v>
      </c>
      <c r="D53">
        <v>216</v>
      </c>
      <c r="E53">
        <v>1251926</v>
      </c>
      <c r="F53" t="s">
        <v>256</v>
      </c>
      <c r="G53" s="3" t="s">
        <v>226</v>
      </c>
      <c r="H53" t="s">
        <v>32</v>
      </c>
      <c r="I53" s="1">
        <v>45950</v>
      </c>
      <c r="J53" s="1">
        <v>45979</v>
      </c>
      <c r="K53" s="1">
        <v>45948</v>
      </c>
      <c r="L53">
        <v>1</v>
      </c>
      <c r="M53">
        <v>39.869999999999997</v>
      </c>
      <c r="N53">
        <v>0.57499999999999996</v>
      </c>
      <c r="O53">
        <v>0</v>
      </c>
      <c r="P53">
        <v>22.93</v>
      </c>
      <c r="Q53">
        <v>0</v>
      </c>
      <c r="R53" t="s">
        <v>31</v>
      </c>
      <c r="S53" t="s">
        <v>31</v>
      </c>
      <c r="T53" t="s">
        <v>68</v>
      </c>
      <c r="U53" t="s">
        <v>120</v>
      </c>
      <c r="V53" t="s">
        <v>26</v>
      </c>
      <c r="W53" t="s">
        <v>140</v>
      </c>
      <c r="X53" t="s">
        <v>141</v>
      </c>
      <c r="Y53">
        <v>1</v>
      </c>
      <c r="AB53">
        <v>0</v>
      </c>
      <c r="AE53">
        <v>0</v>
      </c>
      <c r="AH53">
        <v>0</v>
      </c>
    </row>
    <row r="54" spans="1:34" x14ac:dyDescent="0.3">
      <c r="A54" t="s">
        <v>33</v>
      </c>
      <c r="B54">
        <v>1251926</v>
      </c>
      <c r="C54" t="s">
        <v>255</v>
      </c>
      <c r="D54">
        <v>216</v>
      </c>
      <c r="E54">
        <v>1251926</v>
      </c>
      <c r="F54" t="s">
        <v>256</v>
      </c>
      <c r="G54" s="3" t="s">
        <v>226</v>
      </c>
      <c r="H54" t="s">
        <v>32</v>
      </c>
      <c r="I54" s="1">
        <v>45953</v>
      </c>
      <c r="J54" s="1">
        <v>45979</v>
      </c>
      <c r="K54" s="1">
        <v>45948</v>
      </c>
      <c r="L54">
        <v>1</v>
      </c>
      <c r="M54">
        <v>-39.869999999999997</v>
      </c>
      <c r="N54">
        <v>0.57499999999999996</v>
      </c>
      <c r="O54">
        <v>0</v>
      </c>
      <c r="P54">
        <v>-22.93</v>
      </c>
      <c r="Q54">
        <v>0</v>
      </c>
      <c r="R54" t="s">
        <v>31</v>
      </c>
      <c r="S54" t="s">
        <v>31</v>
      </c>
      <c r="T54" t="s">
        <v>68</v>
      </c>
      <c r="U54" t="s">
        <v>120</v>
      </c>
      <c r="V54" t="s">
        <v>26</v>
      </c>
      <c r="W54" t="s">
        <v>140</v>
      </c>
      <c r="X54" t="s">
        <v>141</v>
      </c>
      <c r="Y54">
        <v>1</v>
      </c>
      <c r="AB54">
        <v>0</v>
      </c>
      <c r="AE54">
        <v>0</v>
      </c>
      <c r="AH54">
        <v>0</v>
      </c>
    </row>
    <row r="55" spans="1:34" x14ac:dyDescent="0.3">
      <c r="A55" t="s">
        <v>33</v>
      </c>
      <c r="B55">
        <v>1252401</v>
      </c>
      <c r="C55" t="s">
        <v>257</v>
      </c>
      <c r="D55">
        <v>216</v>
      </c>
      <c r="E55">
        <v>1252401</v>
      </c>
      <c r="F55" t="s">
        <v>258</v>
      </c>
      <c r="G55" s="3" t="s">
        <v>226</v>
      </c>
      <c r="H55" t="s">
        <v>32</v>
      </c>
      <c r="I55" s="1">
        <v>45950</v>
      </c>
      <c r="J55" s="1">
        <v>45966</v>
      </c>
      <c r="K55" s="1">
        <v>45935</v>
      </c>
      <c r="L55">
        <v>1</v>
      </c>
      <c r="M55">
        <v>57.61</v>
      </c>
      <c r="N55">
        <v>0.57499999999999996</v>
      </c>
      <c r="O55">
        <v>33.130000000000003</v>
      </c>
      <c r="P55">
        <v>0</v>
      </c>
      <c r="Q55">
        <v>0</v>
      </c>
      <c r="R55" t="s">
        <v>31</v>
      </c>
      <c r="S55" t="s">
        <v>31</v>
      </c>
      <c r="T55" t="s">
        <v>34</v>
      </c>
      <c r="U55" t="s">
        <v>91</v>
      </c>
      <c r="V55" t="s">
        <v>26</v>
      </c>
      <c r="W55" t="s">
        <v>259</v>
      </c>
      <c r="X55" t="s">
        <v>260</v>
      </c>
      <c r="Y55">
        <v>0</v>
      </c>
      <c r="AB55">
        <v>0</v>
      </c>
      <c r="AE55">
        <v>0</v>
      </c>
      <c r="AH55">
        <v>0</v>
      </c>
    </row>
    <row r="56" spans="1:34" x14ac:dyDescent="0.3">
      <c r="A56" t="s">
        <v>33</v>
      </c>
      <c r="B56">
        <v>1252401</v>
      </c>
      <c r="C56" t="s">
        <v>257</v>
      </c>
      <c r="D56">
        <v>216</v>
      </c>
      <c r="E56">
        <v>1252401</v>
      </c>
      <c r="F56" t="s">
        <v>258</v>
      </c>
      <c r="G56" s="3" t="s">
        <v>226</v>
      </c>
      <c r="H56" t="s">
        <v>32</v>
      </c>
      <c r="I56" s="1">
        <v>45954</v>
      </c>
      <c r="J56" s="1">
        <v>45966</v>
      </c>
      <c r="K56" s="1">
        <v>45935</v>
      </c>
      <c r="L56">
        <v>1</v>
      </c>
      <c r="M56">
        <v>-57.61</v>
      </c>
      <c r="N56">
        <v>0.57499999999999996</v>
      </c>
      <c r="O56">
        <v>-33.130000000000003</v>
      </c>
      <c r="P56">
        <v>0</v>
      </c>
      <c r="Q56">
        <v>0</v>
      </c>
      <c r="R56" t="s">
        <v>31</v>
      </c>
      <c r="S56" t="s">
        <v>31</v>
      </c>
      <c r="T56" t="s">
        <v>34</v>
      </c>
      <c r="U56" t="s">
        <v>91</v>
      </c>
      <c r="V56" t="s">
        <v>26</v>
      </c>
      <c r="W56" t="s">
        <v>259</v>
      </c>
      <c r="X56" t="s">
        <v>260</v>
      </c>
      <c r="Y56">
        <v>0</v>
      </c>
      <c r="AB56">
        <v>0</v>
      </c>
      <c r="AE56">
        <v>0</v>
      </c>
      <c r="AH56">
        <v>0</v>
      </c>
    </row>
    <row r="57" spans="1:34" x14ac:dyDescent="0.3">
      <c r="A57" t="s">
        <v>33</v>
      </c>
      <c r="B57">
        <v>1252611</v>
      </c>
      <c r="C57" t="s">
        <v>261</v>
      </c>
      <c r="D57">
        <v>216</v>
      </c>
      <c r="E57">
        <v>1252611</v>
      </c>
      <c r="F57" t="s">
        <v>262</v>
      </c>
      <c r="G57" s="3" t="s">
        <v>226</v>
      </c>
      <c r="H57" t="s">
        <v>32</v>
      </c>
      <c r="I57" s="1">
        <v>45946</v>
      </c>
      <c r="J57" s="1">
        <v>45977</v>
      </c>
      <c r="K57" s="1">
        <v>45946</v>
      </c>
      <c r="L57">
        <v>1</v>
      </c>
      <c r="M57">
        <v>44.85</v>
      </c>
      <c r="N57">
        <v>0.57499999999999996</v>
      </c>
      <c r="O57">
        <v>0</v>
      </c>
      <c r="P57">
        <v>25.79</v>
      </c>
      <c r="Q57">
        <v>0</v>
      </c>
      <c r="R57" t="s">
        <v>31</v>
      </c>
      <c r="S57" t="s">
        <v>31</v>
      </c>
      <c r="T57" t="s">
        <v>53</v>
      </c>
      <c r="U57" t="s">
        <v>71</v>
      </c>
      <c r="V57" t="s">
        <v>26</v>
      </c>
      <c r="W57" t="s">
        <v>214</v>
      </c>
      <c r="X57" t="s">
        <v>215</v>
      </c>
      <c r="Y57">
        <v>1</v>
      </c>
      <c r="AB57">
        <v>0</v>
      </c>
      <c r="AE57">
        <v>0</v>
      </c>
      <c r="AH57">
        <v>0</v>
      </c>
    </row>
    <row r="58" spans="1:34" x14ac:dyDescent="0.3">
      <c r="A58" t="s">
        <v>33</v>
      </c>
      <c r="B58">
        <v>1253404</v>
      </c>
      <c r="C58" t="s">
        <v>263</v>
      </c>
      <c r="D58">
        <v>216</v>
      </c>
      <c r="E58">
        <v>1253404</v>
      </c>
      <c r="F58" t="s">
        <v>264</v>
      </c>
      <c r="G58" s="3" t="s">
        <v>226</v>
      </c>
      <c r="H58" t="s">
        <v>32</v>
      </c>
      <c r="I58" s="1">
        <v>45953</v>
      </c>
      <c r="J58" s="1">
        <v>45971</v>
      </c>
      <c r="K58" s="1">
        <v>45940</v>
      </c>
      <c r="L58">
        <v>1</v>
      </c>
      <c r="M58">
        <v>-51.54</v>
      </c>
      <c r="N58">
        <v>0.57499999999999996</v>
      </c>
      <c r="O58">
        <v>0</v>
      </c>
      <c r="P58">
        <v>-29.64</v>
      </c>
      <c r="Q58">
        <v>0</v>
      </c>
      <c r="R58" t="s">
        <v>31</v>
      </c>
      <c r="S58" t="s">
        <v>31</v>
      </c>
      <c r="T58" t="s">
        <v>138</v>
      </c>
      <c r="U58" t="s">
        <v>265</v>
      </c>
      <c r="V58" t="s">
        <v>26</v>
      </c>
      <c r="W58" t="s">
        <v>212</v>
      </c>
      <c r="X58" t="s">
        <v>213</v>
      </c>
      <c r="Y58">
        <v>1</v>
      </c>
      <c r="AB58">
        <v>0</v>
      </c>
      <c r="AE58">
        <v>0</v>
      </c>
      <c r="AH58">
        <v>0</v>
      </c>
    </row>
    <row r="59" spans="1:34" x14ac:dyDescent="0.3">
      <c r="A59" t="s">
        <v>33</v>
      </c>
      <c r="B59">
        <v>1253694</v>
      </c>
      <c r="C59" t="s">
        <v>266</v>
      </c>
      <c r="D59">
        <v>216</v>
      </c>
      <c r="E59">
        <v>1253694</v>
      </c>
      <c r="F59" t="s">
        <v>267</v>
      </c>
      <c r="G59" s="3" t="s">
        <v>226</v>
      </c>
      <c r="H59" t="s">
        <v>32</v>
      </c>
      <c r="I59" s="1">
        <v>45947</v>
      </c>
      <c r="J59" s="1">
        <v>45978</v>
      </c>
      <c r="K59" s="1">
        <v>45947</v>
      </c>
      <c r="L59">
        <v>1</v>
      </c>
      <c r="M59">
        <v>81.09</v>
      </c>
      <c r="N59">
        <v>0.57499999999999996</v>
      </c>
      <c r="O59">
        <v>0</v>
      </c>
      <c r="P59">
        <v>46.63</v>
      </c>
      <c r="Q59">
        <v>0</v>
      </c>
      <c r="R59" t="s">
        <v>31</v>
      </c>
      <c r="S59" t="s">
        <v>31</v>
      </c>
      <c r="T59" t="s">
        <v>138</v>
      </c>
      <c r="U59" t="s">
        <v>268</v>
      </c>
      <c r="V59" t="s">
        <v>56</v>
      </c>
      <c r="W59" t="s">
        <v>50</v>
      </c>
      <c r="X59" t="s">
        <v>51</v>
      </c>
      <c r="Y59">
        <v>1</v>
      </c>
      <c r="AB59">
        <v>0</v>
      </c>
      <c r="AE59">
        <v>0</v>
      </c>
      <c r="AH59">
        <v>0</v>
      </c>
    </row>
    <row r="60" spans="1:34" x14ac:dyDescent="0.3">
      <c r="A60" t="s">
        <v>33</v>
      </c>
      <c r="B60">
        <v>1253830</v>
      </c>
      <c r="C60" t="s">
        <v>269</v>
      </c>
      <c r="D60">
        <v>216</v>
      </c>
      <c r="E60">
        <v>1253830</v>
      </c>
      <c r="F60" t="s">
        <v>270</v>
      </c>
      <c r="G60" s="3" t="s">
        <v>226</v>
      </c>
      <c r="H60" t="s">
        <v>32</v>
      </c>
      <c r="I60" s="1">
        <v>45954</v>
      </c>
      <c r="J60" s="1">
        <v>45972</v>
      </c>
      <c r="K60" s="1">
        <v>45941</v>
      </c>
      <c r="L60">
        <v>1</v>
      </c>
      <c r="M60">
        <v>-115.06</v>
      </c>
      <c r="N60">
        <v>0.57499999999999996</v>
      </c>
      <c r="O60">
        <v>0</v>
      </c>
      <c r="P60">
        <v>-66.16</v>
      </c>
      <c r="Q60">
        <v>0</v>
      </c>
      <c r="R60" t="s">
        <v>31</v>
      </c>
      <c r="S60" t="s">
        <v>31</v>
      </c>
      <c r="T60" t="s">
        <v>30</v>
      </c>
      <c r="U60" t="s">
        <v>271</v>
      </c>
      <c r="V60" t="s">
        <v>55</v>
      </c>
      <c r="W60" t="s">
        <v>132</v>
      </c>
      <c r="X60" t="s">
        <v>133</v>
      </c>
      <c r="Y60">
        <v>1</v>
      </c>
      <c r="AB60">
        <v>0</v>
      </c>
      <c r="AE60">
        <v>0</v>
      </c>
      <c r="AH60">
        <v>0</v>
      </c>
    </row>
    <row r="61" spans="1:34" x14ac:dyDescent="0.3">
      <c r="A61" t="s">
        <v>33</v>
      </c>
      <c r="B61">
        <v>1254231</v>
      </c>
      <c r="C61" t="s">
        <v>272</v>
      </c>
      <c r="D61">
        <v>216</v>
      </c>
      <c r="E61">
        <v>1254231</v>
      </c>
      <c r="F61" t="s">
        <v>273</v>
      </c>
      <c r="G61" s="3" t="s">
        <v>226</v>
      </c>
      <c r="H61" t="s">
        <v>32</v>
      </c>
      <c r="I61" s="1">
        <v>45947</v>
      </c>
      <c r="J61" s="1">
        <v>45976</v>
      </c>
      <c r="K61" s="1">
        <v>45945</v>
      </c>
      <c r="L61">
        <v>1</v>
      </c>
      <c r="M61">
        <v>152.72</v>
      </c>
      <c r="N61">
        <v>0.57499999999999996</v>
      </c>
      <c r="O61">
        <v>0</v>
      </c>
      <c r="P61">
        <v>87.81</v>
      </c>
      <c r="Q61">
        <v>0</v>
      </c>
      <c r="R61" t="s">
        <v>31</v>
      </c>
      <c r="S61" t="s">
        <v>31</v>
      </c>
      <c r="T61" t="s">
        <v>34</v>
      </c>
      <c r="U61" t="s">
        <v>35</v>
      </c>
      <c r="V61" t="s">
        <v>25</v>
      </c>
      <c r="W61" t="s">
        <v>65</v>
      </c>
      <c r="X61" t="s">
        <v>66</v>
      </c>
      <c r="Y61">
        <v>1</v>
      </c>
      <c r="AB61">
        <v>0</v>
      </c>
      <c r="AE61">
        <v>0</v>
      </c>
      <c r="AH61">
        <v>0</v>
      </c>
    </row>
    <row r="62" spans="1:34" x14ac:dyDescent="0.3">
      <c r="A62" t="s">
        <v>33</v>
      </c>
      <c r="B62">
        <v>1254284</v>
      </c>
      <c r="C62" t="s">
        <v>274</v>
      </c>
      <c r="D62">
        <v>216</v>
      </c>
      <c r="E62">
        <v>1254284</v>
      </c>
      <c r="F62" t="s">
        <v>275</v>
      </c>
      <c r="G62" s="3" t="s">
        <v>226</v>
      </c>
      <c r="H62" t="s">
        <v>32</v>
      </c>
      <c r="I62" s="1">
        <v>45954</v>
      </c>
      <c r="J62" s="1">
        <v>45986</v>
      </c>
      <c r="K62" s="1">
        <v>45955</v>
      </c>
      <c r="L62">
        <v>1</v>
      </c>
      <c r="M62">
        <v>58.94</v>
      </c>
      <c r="N62">
        <v>0.57499999999999996</v>
      </c>
      <c r="O62">
        <v>0</v>
      </c>
      <c r="P62">
        <v>33.89</v>
      </c>
      <c r="Q62">
        <v>0</v>
      </c>
      <c r="R62" t="s">
        <v>31</v>
      </c>
      <c r="S62" t="s">
        <v>31</v>
      </c>
      <c r="T62" t="s">
        <v>34</v>
      </c>
      <c r="U62" t="s">
        <v>91</v>
      </c>
      <c r="V62" t="s">
        <v>26</v>
      </c>
      <c r="W62" t="s">
        <v>140</v>
      </c>
      <c r="X62" t="s">
        <v>141</v>
      </c>
      <c r="Y62">
        <v>1</v>
      </c>
      <c r="AB62">
        <v>0</v>
      </c>
      <c r="AE62">
        <v>0</v>
      </c>
      <c r="AH62">
        <v>0</v>
      </c>
    </row>
    <row r="63" spans="1:34" x14ac:dyDescent="0.3">
      <c r="A63" t="s">
        <v>33</v>
      </c>
      <c r="B63">
        <v>1254284</v>
      </c>
      <c r="C63" t="s">
        <v>274</v>
      </c>
      <c r="D63">
        <v>216</v>
      </c>
      <c r="E63">
        <v>1254284</v>
      </c>
      <c r="F63" t="s">
        <v>275</v>
      </c>
      <c r="G63" s="3" t="s">
        <v>226</v>
      </c>
      <c r="H63" t="s">
        <v>32</v>
      </c>
      <c r="I63" s="1">
        <v>45961</v>
      </c>
      <c r="J63" s="1">
        <v>45986</v>
      </c>
      <c r="K63" s="1">
        <v>45955</v>
      </c>
      <c r="L63">
        <v>1</v>
      </c>
      <c r="M63">
        <v>-58.94</v>
      </c>
      <c r="N63">
        <v>0.57499999999999996</v>
      </c>
      <c r="O63">
        <v>0</v>
      </c>
      <c r="P63">
        <v>-33.89</v>
      </c>
      <c r="Q63">
        <v>0</v>
      </c>
      <c r="R63" t="s">
        <v>31</v>
      </c>
      <c r="S63" t="s">
        <v>31</v>
      </c>
      <c r="T63" t="s">
        <v>34</v>
      </c>
      <c r="U63" t="s">
        <v>91</v>
      </c>
      <c r="V63" t="s">
        <v>26</v>
      </c>
      <c r="W63" t="s">
        <v>140</v>
      </c>
      <c r="X63" t="s">
        <v>141</v>
      </c>
      <c r="Y63">
        <v>1</v>
      </c>
      <c r="AB63">
        <v>0</v>
      </c>
      <c r="AE63">
        <v>0</v>
      </c>
      <c r="AH63">
        <v>0</v>
      </c>
    </row>
    <row r="64" spans="1:34" x14ac:dyDescent="0.3">
      <c r="A64" t="s">
        <v>33</v>
      </c>
      <c r="B64">
        <v>1254293</v>
      </c>
      <c r="C64" t="s">
        <v>276</v>
      </c>
      <c r="D64">
        <v>216</v>
      </c>
      <c r="E64">
        <v>1254293</v>
      </c>
      <c r="F64" t="s">
        <v>277</v>
      </c>
      <c r="G64" s="3" t="s">
        <v>226</v>
      </c>
      <c r="H64" t="s">
        <v>32</v>
      </c>
      <c r="I64" s="1">
        <v>45954</v>
      </c>
      <c r="J64" s="1">
        <v>45986</v>
      </c>
      <c r="K64" s="1">
        <v>45955</v>
      </c>
      <c r="L64">
        <v>1</v>
      </c>
      <c r="M64">
        <v>42.73</v>
      </c>
      <c r="N64">
        <v>0.57499999999999996</v>
      </c>
      <c r="O64">
        <v>24.57</v>
      </c>
      <c r="P64">
        <v>0</v>
      </c>
      <c r="Q64">
        <v>0</v>
      </c>
      <c r="R64" t="s">
        <v>31</v>
      </c>
      <c r="S64" t="s">
        <v>31</v>
      </c>
      <c r="T64" t="s">
        <v>34</v>
      </c>
      <c r="U64" t="s">
        <v>91</v>
      </c>
      <c r="V64" t="s">
        <v>26</v>
      </c>
      <c r="W64" t="s">
        <v>140</v>
      </c>
      <c r="X64" t="s">
        <v>141</v>
      </c>
      <c r="Y64">
        <v>1</v>
      </c>
      <c r="AB64">
        <v>0</v>
      </c>
      <c r="AE64">
        <v>0</v>
      </c>
      <c r="AH64">
        <v>0</v>
      </c>
    </row>
    <row r="65" spans="1:34" x14ac:dyDescent="0.3">
      <c r="A65" t="s">
        <v>33</v>
      </c>
      <c r="B65">
        <v>1254293</v>
      </c>
      <c r="C65" t="s">
        <v>276</v>
      </c>
      <c r="D65">
        <v>216</v>
      </c>
      <c r="E65">
        <v>1254293</v>
      </c>
      <c r="F65" t="s">
        <v>277</v>
      </c>
      <c r="G65" s="3" t="s">
        <v>226</v>
      </c>
      <c r="H65" t="s">
        <v>32</v>
      </c>
      <c r="I65" s="1">
        <v>45961</v>
      </c>
      <c r="J65" s="1">
        <v>45986</v>
      </c>
      <c r="K65" s="1">
        <v>45955</v>
      </c>
      <c r="L65">
        <v>1</v>
      </c>
      <c r="M65">
        <v>-42.73</v>
      </c>
      <c r="N65">
        <v>0.57499999999999996</v>
      </c>
      <c r="O65">
        <v>-24.57</v>
      </c>
      <c r="P65">
        <v>0</v>
      </c>
      <c r="Q65">
        <v>0</v>
      </c>
      <c r="R65" t="s">
        <v>31</v>
      </c>
      <c r="S65" t="s">
        <v>31</v>
      </c>
      <c r="T65" t="s">
        <v>34</v>
      </c>
      <c r="U65" t="s">
        <v>91</v>
      </c>
      <c r="V65" t="s">
        <v>26</v>
      </c>
      <c r="W65" t="s">
        <v>140</v>
      </c>
      <c r="X65" t="s">
        <v>141</v>
      </c>
      <c r="Y65">
        <v>1</v>
      </c>
      <c r="AB65">
        <v>0</v>
      </c>
      <c r="AE65">
        <v>0</v>
      </c>
      <c r="AH65">
        <v>0</v>
      </c>
    </row>
    <row r="66" spans="1:34" x14ac:dyDescent="0.3">
      <c r="A66" t="s">
        <v>33</v>
      </c>
      <c r="B66">
        <v>1254442</v>
      </c>
      <c r="C66" t="s">
        <v>278</v>
      </c>
      <c r="D66">
        <v>216</v>
      </c>
      <c r="E66">
        <v>1254442</v>
      </c>
      <c r="F66" t="s">
        <v>279</v>
      </c>
      <c r="G66" s="3" t="s">
        <v>226</v>
      </c>
      <c r="H66" t="s">
        <v>32</v>
      </c>
      <c r="I66" s="1">
        <v>45950</v>
      </c>
      <c r="J66" s="1">
        <v>45981</v>
      </c>
      <c r="K66" s="1">
        <v>45950</v>
      </c>
      <c r="L66">
        <v>1</v>
      </c>
      <c r="M66">
        <v>46.99</v>
      </c>
      <c r="N66">
        <v>0.57499999999999996</v>
      </c>
      <c r="O66">
        <v>27.02</v>
      </c>
      <c r="P66">
        <v>0</v>
      </c>
      <c r="Q66">
        <v>0</v>
      </c>
      <c r="R66" t="s">
        <v>31</v>
      </c>
      <c r="S66" t="s">
        <v>31</v>
      </c>
      <c r="T66" t="s">
        <v>280</v>
      </c>
      <c r="U66" t="s">
        <v>281</v>
      </c>
      <c r="V66" t="s">
        <v>26</v>
      </c>
      <c r="W66" t="s">
        <v>282</v>
      </c>
      <c r="X66" t="s">
        <v>283</v>
      </c>
      <c r="Y66">
        <v>1</v>
      </c>
      <c r="AB66">
        <v>0</v>
      </c>
      <c r="AE66">
        <v>0</v>
      </c>
      <c r="AH66">
        <v>0</v>
      </c>
    </row>
    <row r="67" spans="1:34" x14ac:dyDescent="0.3">
      <c r="A67" t="s">
        <v>33</v>
      </c>
      <c r="B67">
        <v>1254594</v>
      </c>
      <c r="C67" t="s">
        <v>284</v>
      </c>
      <c r="D67">
        <v>216</v>
      </c>
      <c r="E67">
        <v>1254594</v>
      </c>
      <c r="F67" t="s">
        <v>285</v>
      </c>
      <c r="G67" s="3" t="s">
        <v>226</v>
      </c>
      <c r="H67" t="s">
        <v>32</v>
      </c>
      <c r="I67" s="1">
        <v>45950</v>
      </c>
      <c r="J67" s="1">
        <v>45977</v>
      </c>
      <c r="K67" s="1">
        <v>45946</v>
      </c>
      <c r="L67">
        <v>1</v>
      </c>
      <c r="M67">
        <v>56.89</v>
      </c>
      <c r="N67">
        <v>0.57499999999999996</v>
      </c>
      <c r="O67">
        <v>32.71</v>
      </c>
      <c r="P67">
        <v>0</v>
      </c>
      <c r="Q67">
        <v>0</v>
      </c>
      <c r="R67" t="s">
        <v>31</v>
      </c>
      <c r="S67" t="s">
        <v>31</v>
      </c>
      <c r="T67" t="s">
        <v>34</v>
      </c>
      <c r="U67" t="s">
        <v>91</v>
      </c>
      <c r="V67" t="s">
        <v>26</v>
      </c>
      <c r="W67" t="s">
        <v>93</v>
      </c>
      <c r="X67" t="s">
        <v>94</v>
      </c>
      <c r="Y67">
        <v>1</v>
      </c>
      <c r="AB67">
        <v>0</v>
      </c>
      <c r="AE67">
        <v>0</v>
      </c>
      <c r="AH67">
        <v>0</v>
      </c>
    </row>
    <row r="68" spans="1:34" x14ac:dyDescent="0.3">
      <c r="A68" t="s">
        <v>33</v>
      </c>
      <c r="B68">
        <v>1254734</v>
      </c>
      <c r="C68" t="s">
        <v>286</v>
      </c>
      <c r="D68">
        <v>216</v>
      </c>
      <c r="E68">
        <v>1254734</v>
      </c>
      <c r="F68" t="s">
        <v>287</v>
      </c>
      <c r="G68" s="3" t="s">
        <v>226</v>
      </c>
      <c r="H68" t="s">
        <v>32</v>
      </c>
      <c r="I68" s="1">
        <v>45950</v>
      </c>
      <c r="J68" s="1">
        <v>45979</v>
      </c>
      <c r="K68" s="1">
        <v>45948</v>
      </c>
      <c r="L68">
        <v>1</v>
      </c>
      <c r="M68">
        <v>114.2</v>
      </c>
      <c r="N68">
        <v>0.57499999999999996</v>
      </c>
      <c r="O68">
        <v>65.67</v>
      </c>
      <c r="P68">
        <v>0</v>
      </c>
      <c r="Q68">
        <v>0</v>
      </c>
      <c r="R68" t="s">
        <v>31</v>
      </c>
      <c r="S68" t="s">
        <v>31</v>
      </c>
      <c r="T68" t="s">
        <v>68</v>
      </c>
      <c r="U68" t="s">
        <v>288</v>
      </c>
      <c r="V68" t="s">
        <v>55</v>
      </c>
      <c r="W68" t="s">
        <v>140</v>
      </c>
      <c r="X68" t="s">
        <v>141</v>
      </c>
      <c r="Y68">
        <v>1</v>
      </c>
      <c r="AB68">
        <v>0</v>
      </c>
      <c r="AE68">
        <v>0</v>
      </c>
      <c r="AH68">
        <v>0</v>
      </c>
    </row>
    <row r="69" spans="1:34" x14ac:dyDescent="0.3">
      <c r="A69" t="s">
        <v>33</v>
      </c>
      <c r="B69">
        <v>1255229</v>
      </c>
      <c r="C69" t="s">
        <v>289</v>
      </c>
      <c r="D69">
        <v>216</v>
      </c>
      <c r="E69">
        <v>1255229</v>
      </c>
      <c r="F69" t="s">
        <v>290</v>
      </c>
      <c r="G69" s="3" t="s">
        <v>226</v>
      </c>
      <c r="H69" t="s">
        <v>32</v>
      </c>
      <c r="I69" s="1">
        <v>45952</v>
      </c>
      <c r="J69" s="1">
        <v>45979</v>
      </c>
      <c r="K69" s="1">
        <v>45948</v>
      </c>
      <c r="L69">
        <v>1</v>
      </c>
      <c r="M69">
        <v>34.299999999999997</v>
      </c>
      <c r="N69">
        <v>0.57499999999999996</v>
      </c>
      <c r="O69">
        <v>19.72</v>
      </c>
      <c r="P69">
        <v>0</v>
      </c>
      <c r="Q69">
        <v>0</v>
      </c>
      <c r="R69" t="s">
        <v>31</v>
      </c>
      <c r="S69" t="s">
        <v>31</v>
      </c>
      <c r="T69" t="s">
        <v>34</v>
      </c>
      <c r="U69" t="s">
        <v>35</v>
      </c>
      <c r="V69" t="s">
        <v>25</v>
      </c>
      <c r="W69" t="s">
        <v>73</v>
      </c>
      <c r="X69" t="s">
        <v>74</v>
      </c>
      <c r="Y69">
        <v>1</v>
      </c>
      <c r="AB69">
        <v>0</v>
      </c>
      <c r="AE69">
        <v>0</v>
      </c>
      <c r="AH69">
        <v>0</v>
      </c>
    </row>
    <row r="70" spans="1:34" x14ac:dyDescent="0.3">
      <c r="A70" t="s">
        <v>33</v>
      </c>
      <c r="B70">
        <v>1255255</v>
      </c>
      <c r="C70" t="s">
        <v>291</v>
      </c>
      <c r="D70">
        <v>216</v>
      </c>
      <c r="E70">
        <v>1255255</v>
      </c>
      <c r="F70" t="s">
        <v>292</v>
      </c>
      <c r="G70" s="3" t="s">
        <v>226</v>
      </c>
      <c r="H70" t="s">
        <v>32</v>
      </c>
      <c r="I70" s="1">
        <v>45952</v>
      </c>
      <c r="J70" s="1">
        <v>45979</v>
      </c>
      <c r="K70" s="1">
        <v>45948</v>
      </c>
      <c r="L70">
        <v>1</v>
      </c>
      <c r="M70">
        <v>55.53</v>
      </c>
      <c r="N70">
        <v>0.57499999999999996</v>
      </c>
      <c r="O70">
        <v>31.93</v>
      </c>
      <c r="P70">
        <v>0</v>
      </c>
      <c r="Q70">
        <v>0</v>
      </c>
      <c r="R70" t="s">
        <v>31</v>
      </c>
      <c r="S70" t="s">
        <v>31</v>
      </c>
      <c r="T70" t="s">
        <v>68</v>
      </c>
      <c r="U70" t="s">
        <v>120</v>
      </c>
      <c r="V70" t="s">
        <v>26</v>
      </c>
      <c r="W70" t="s">
        <v>212</v>
      </c>
      <c r="X70" t="s">
        <v>213</v>
      </c>
      <c r="Y70">
        <v>1</v>
      </c>
      <c r="AB70">
        <v>0</v>
      </c>
      <c r="AE70">
        <v>0</v>
      </c>
      <c r="AH70">
        <v>0</v>
      </c>
    </row>
    <row r="71" spans="1:34" x14ac:dyDescent="0.3">
      <c r="A71" t="s">
        <v>33</v>
      </c>
      <c r="B71">
        <v>1255905</v>
      </c>
      <c r="C71" t="s">
        <v>293</v>
      </c>
      <c r="D71">
        <v>216</v>
      </c>
      <c r="E71">
        <v>1255905</v>
      </c>
      <c r="F71" t="s">
        <v>294</v>
      </c>
      <c r="G71" s="3" t="s">
        <v>226</v>
      </c>
      <c r="H71" t="s">
        <v>32</v>
      </c>
      <c r="I71" s="1">
        <v>45954</v>
      </c>
      <c r="J71" s="1">
        <v>45983</v>
      </c>
      <c r="K71" s="1">
        <v>45952</v>
      </c>
      <c r="L71">
        <v>1</v>
      </c>
      <c r="M71">
        <v>103.6</v>
      </c>
      <c r="N71">
        <v>0.57499999999999996</v>
      </c>
      <c r="O71">
        <v>0</v>
      </c>
      <c r="P71">
        <v>59.57</v>
      </c>
      <c r="Q71">
        <v>0</v>
      </c>
      <c r="R71" t="s">
        <v>31</v>
      </c>
      <c r="S71" t="s">
        <v>31</v>
      </c>
      <c r="T71" t="s">
        <v>34</v>
      </c>
      <c r="U71" t="s">
        <v>35</v>
      </c>
      <c r="V71" t="s">
        <v>25</v>
      </c>
      <c r="W71" t="s">
        <v>73</v>
      </c>
      <c r="X71" t="s">
        <v>74</v>
      </c>
      <c r="Y71">
        <v>1</v>
      </c>
      <c r="AB71">
        <v>0</v>
      </c>
      <c r="AE71">
        <v>0</v>
      </c>
      <c r="AH71">
        <v>0</v>
      </c>
    </row>
    <row r="72" spans="1:34" x14ac:dyDescent="0.3">
      <c r="A72" t="s">
        <v>33</v>
      </c>
      <c r="B72">
        <v>1255923</v>
      </c>
      <c r="C72" t="s">
        <v>295</v>
      </c>
      <c r="D72">
        <v>216</v>
      </c>
      <c r="E72">
        <v>1255923</v>
      </c>
      <c r="F72" t="s">
        <v>296</v>
      </c>
      <c r="G72" s="3" t="s">
        <v>226</v>
      </c>
      <c r="H72" t="s">
        <v>32</v>
      </c>
      <c r="I72" s="1">
        <v>45954</v>
      </c>
      <c r="J72" s="1">
        <v>45985</v>
      </c>
      <c r="K72" s="1">
        <v>45954</v>
      </c>
      <c r="L72">
        <v>1</v>
      </c>
      <c r="M72">
        <v>51.32</v>
      </c>
      <c r="N72">
        <v>0.57499999999999996</v>
      </c>
      <c r="O72">
        <v>0</v>
      </c>
      <c r="P72">
        <v>29.51</v>
      </c>
      <c r="Q72">
        <v>0</v>
      </c>
      <c r="R72" t="s">
        <v>31</v>
      </c>
      <c r="S72" t="s">
        <v>31</v>
      </c>
      <c r="T72" t="s">
        <v>53</v>
      </c>
      <c r="U72" t="s">
        <v>297</v>
      </c>
      <c r="V72" t="s">
        <v>57</v>
      </c>
      <c r="W72" t="s">
        <v>232</v>
      </c>
      <c r="X72" t="s">
        <v>233</v>
      </c>
      <c r="Y72">
        <v>1</v>
      </c>
      <c r="AB72">
        <v>0</v>
      </c>
      <c r="AE72">
        <v>0</v>
      </c>
      <c r="AH72">
        <v>0</v>
      </c>
    </row>
    <row r="73" spans="1:34" x14ac:dyDescent="0.3">
      <c r="A73" t="s">
        <v>33</v>
      </c>
      <c r="B73">
        <v>1256009</v>
      </c>
      <c r="C73" t="s">
        <v>298</v>
      </c>
      <c r="D73">
        <v>216</v>
      </c>
      <c r="E73">
        <v>1256009</v>
      </c>
      <c r="F73" t="s">
        <v>299</v>
      </c>
      <c r="G73" s="3" t="s">
        <v>226</v>
      </c>
      <c r="H73" t="s">
        <v>32</v>
      </c>
      <c r="I73" s="1">
        <v>45954</v>
      </c>
      <c r="J73" s="1">
        <v>45983</v>
      </c>
      <c r="K73" s="1">
        <v>45952</v>
      </c>
      <c r="L73">
        <v>1</v>
      </c>
      <c r="M73">
        <v>42.24</v>
      </c>
      <c r="N73">
        <v>0.57499999999999996</v>
      </c>
      <c r="O73">
        <v>0</v>
      </c>
      <c r="P73">
        <v>24.29</v>
      </c>
      <c r="Q73">
        <v>0</v>
      </c>
      <c r="R73" t="s">
        <v>31</v>
      </c>
      <c r="S73" t="s">
        <v>31</v>
      </c>
      <c r="T73" t="s">
        <v>53</v>
      </c>
      <c r="U73" t="s">
        <v>300</v>
      </c>
      <c r="V73" t="s">
        <v>25</v>
      </c>
      <c r="W73" t="s">
        <v>210</v>
      </c>
      <c r="X73" t="s">
        <v>211</v>
      </c>
      <c r="Y73">
        <v>1</v>
      </c>
      <c r="AB73">
        <v>0</v>
      </c>
      <c r="AE73">
        <v>0</v>
      </c>
      <c r="AH73">
        <v>0</v>
      </c>
    </row>
    <row r="74" spans="1:34" x14ac:dyDescent="0.3">
      <c r="A74" t="s">
        <v>33</v>
      </c>
      <c r="B74">
        <v>1256009</v>
      </c>
      <c r="C74" t="s">
        <v>298</v>
      </c>
      <c r="D74">
        <v>216</v>
      </c>
      <c r="E74">
        <v>1256009</v>
      </c>
      <c r="F74" t="s">
        <v>299</v>
      </c>
      <c r="G74" s="3" t="s">
        <v>226</v>
      </c>
      <c r="H74" t="s">
        <v>32</v>
      </c>
      <c r="I74" s="1">
        <v>45961</v>
      </c>
      <c r="J74" s="1">
        <v>45983</v>
      </c>
      <c r="K74" s="1">
        <v>45952</v>
      </c>
      <c r="L74">
        <v>1</v>
      </c>
      <c r="M74">
        <v>-42.24</v>
      </c>
      <c r="N74">
        <v>0.57499999999999996</v>
      </c>
      <c r="O74">
        <v>0</v>
      </c>
      <c r="P74">
        <v>-24.29</v>
      </c>
      <c r="Q74">
        <v>0</v>
      </c>
      <c r="R74" t="s">
        <v>31</v>
      </c>
      <c r="S74" t="s">
        <v>31</v>
      </c>
      <c r="T74" t="s">
        <v>53</v>
      </c>
      <c r="U74" t="s">
        <v>300</v>
      </c>
      <c r="V74" t="s">
        <v>25</v>
      </c>
      <c r="W74" t="s">
        <v>210</v>
      </c>
      <c r="X74" t="s">
        <v>211</v>
      </c>
      <c r="Y74">
        <v>1</v>
      </c>
      <c r="AB74">
        <v>0</v>
      </c>
      <c r="AE74">
        <v>0</v>
      </c>
      <c r="AH74">
        <v>0</v>
      </c>
    </row>
    <row r="75" spans="1:34" x14ac:dyDescent="0.3">
      <c r="A75" t="s">
        <v>33</v>
      </c>
      <c r="B75">
        <v>1256642</v>
      </c>
      <c r="C75" t="s">
        <v>301</v>
      </c>
      <c r="D75">
        <v>216</v>
      </c>
      <c r="E75">
        <v>1256642</v>
      </c>
      <c r="F75" t="s">
        <v>302</v>
      </c>
      <c r="G75" s="3" t="s">
        <v>226</v>
      </c>
      <c r="H75" t="s">
        <v>32</v>
      </c>
      <c r="I75" s="1">
        <v>45959</v>
      </c>
      <c r="J75" s="1">
        <v>45986</v>
      </c>
      <c r="K75" s="1">
        <v>45955</v>
      </c>
      <c r="L75">
        <v>1</v>
      </c>
      <c r="M75">
        <v>44.85</v>
      </c>
      <c r="N75">
        <v>0.57499999999999996</v>
      </c>
      <c r="O75">
        <v>0</v>
      </c>
      <c r="P75">
        <v>25.79</v>
      </c>
      <c r="Q75">
        <v>0</v>
      </c>
      <c r="R75" t="s">
        <v>31</v>
      </c>
      <c r="S75" t="s">
        <v>31</v>
      </c>
      <c r="T75" t="s">
        <v>53</v>
      </c>
      <c r="U75" t="s">
        <v>71</v>
      </c>
      <c r="V75" t="s">
        <v>26</v>
      </c>
      <c r="W75" t="s">
        <v>140</v>
      </c>
      <c r="X75" t="s">
        <v>141</v>
      </c>
      <c r="Y75">
        <v>1</v>
      </c>
      <c r="AB75">
        <v>0</v>
      </c>
      <c r="AE75">
        <v>0</v>
      </c>
      <c r="AH75">
        <v>0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B0E4-C615-4B57-BD43-01B0F0C7DC81}">
  <dimension ref="A1:V75"/>
  <sheetViews>
    <sheetView tabSelected="1" topLeftCell="B1" workbookViewId="0">
      <selection activeCell="H14" sqref="H14"/>
    </sheetView>
  </sheetViews>
  <sheetFormatPr defaultRowHeight="14.4" x14ac:dyDescent="0.3"/>
  <cols>
    <col min="2" max="2" width="14.77734375" customWidth="1"/>
    <col min="7" max="7" width="27.88671875" customWidth="1"/>
    <col min="8" max="8" width="48.44140625" customWidth="1"/>
    <col min="9" max="9" width="11.77734375" customWidth="1"/>
    <col min="10" max="10" width="10.77734375" customWidth="1"/>
    <col min="13" max="13" width="11.21875" customWidth="1"/>
    <col min="14" max="14" width="16.88671875" customWidth="1"/>
    <col min="17" max="17" width="9.33203125" bestFit="1" customWidth="1"/>
    <col min="19" max="19" width="11.109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f>Transactions!B2</f>
        <v>1212153</v>
      </c>
      <c r="C2" t="str">
        <f>Transactions!F2</f>
        <v>RUSIN, DANIEL</v>
      </c>
      <c r="D2" t="s">
        <v>22</v>
      </c>
      <c r="E2" t="s">
        <v>24</v>
      </c>
      <c r="F2" t="str">
        <f>Transactions!T2</f>
        <v>PA</v>
      </c>
      <c r="G2" t="str">
        <f>VLOOKUP(Transactions!V2, lookups!A:B, 2, 0)</f>
        <v>Fixed Indemnity</v>
      </c>
      <c r="H2" t="str">
        <f>VLOOKUP(Transactions!V2, lookups!A:C, 3, 0)</f>
        <v>Affordable Choice</v>
      </c>
      <c r="I2" s="1">
        <f>Transactions!K2</f>
        <v>45767</v>
      </c>
      <c r="J2" s="1">
        <f>Transactions!K2</f>
        <v>45767</v>
      </c>
      <c r="L2" t="s">
        <v>23</v>
      </c>
      <c r="M2" t="s">
        <v>77</v>
      </c>
      <c r="N2" t="str">
        <f>Transactions!W2</f>
        <v>01VK1700000</v>
      </c>
      <c r="O2">
        <f>Transactions!M2</f>
        <v>261.43</v>
      </c>
      <c r="P2">
        <f>Transactions!M2</f>
        <v>261.43</v>
      </c>
      <c r="Q2" s="1">
        <f>Transactions!I2</f>
        <v>45950</v>
      </c>
      <c r="R2">
        <f>IF(Transactions!O2&lt;&gt;0, Transactions!O2, Transactions!P2)</f>
        <v>91.5</v>
      </c>
      <c r="S2" s="1">
        <f>Transactions!J2</f>
        <v>45981</v>
      </c>
      <c r="T2">
        <v>1</v>
      </c>
      <c r="V2" t="str">
        <f>Transactions!V2</f>
        <v>AFFORDABLE CHOICE ENHANCED ELITE PLUS</v>
      </c>
    </row>
    <row r="3" spans="1:22" x14ac:dyDescent="0.3">
      <c r="A3">
        <f>Transactions!B3</f>
        <v>1224137</v>
      </c>
      <c r="C3" t="str">
        <f>Transactions!F3</f>
        <v>PORTER, CHRISTOPHER</v>
      </c>
      <c r="D3" t="s">
        <v>22</v>
      </c>
      <c r="E3" t="s">
        <v>24</v>
      </c>
      <c r="F3" t="str">
        <f>Transactions!T3</f>
        <v>FL</v>
      </c>
      <c r="G3" t="str">
        <f>VLOOKUP(Transactions!V3, lookups!A:B, 2, 0)</f>
        <v>Accident</v>
      </c>
      <c r="H3" t="str">
        <f>VLOOKUP(Transactions!V3, lookups!A:C, 3, 0)</f>
        <v>PAID Personal Accident &amp; DI Rider, and Accident Express</v>
      </c>
      <c r="I3" s="1">
        <f>Transactions!K3</f>
        <v>45800</v>
      </c>
      <c r="J3" s="1">
        <f>Transactions!K3</f>
        <v>45800</v>
      </c>
      <c r="L3" t="s">
        <v>23</v>
      </c>
      <c r="M3" t="s">
        <v>77</v>
      </c>
      <c r="N3" t="str">
        <f>Transactions!W3</f>
        <v>01VK1880000</v>
      </c>
      <c r="O3">
        <f>Transactions!M3</f>
        <v>18.329999999999998</v>
      </c>
      <c r="P3">
        <f>Transactions!M3</f>
        <v>18.329999999999998</v>
      </c>
      <c r="Q3" s="1">
        <f>Transactions!I3</f>
        <v>45953</v>
      </c>
      <c r="R3">
        <f>IF(Transactions!O3&lt;&gt;0, Transactions!O3, Transactions!P3)</f>
        <v>12.83</v>
      </c>
      <c r="S3" s="1">
        <f>Transactions!J3</f>
        <v>45984</v>
      </c>
      <c r="T3">
        <v>1</v>
      </c>
      <c r="V3" t="str">
        <f>Transactions!V3</f>
        <v>MIAC 24 HR ACCIDENT EXPENSE FL</v>
      </c>
    </row>
    <row r="4" spans="1:22" x14ac:dyDescent="0.3">
      <c r="A4">
        <f>Transactions!B4</f>
        <v>1229523</v>
      </c>
      <c r="C4" t="str">
        <f>Transactions!F4</f>
        <v>ROULHAC, STACY</v>
      </c>
      <c r="D4" t="s">
        <v>22</v>
      </c>
      <c r="E4" t="s">
        <v>24</v>
      </c>
      <c r="F4" t="str">
        <f>Transactions!T4</f>
        <v>FL</v>
      </c>
      <c r="G4" t="str">
        <f>VLOOKUP(Transactions!V4, lookups!A:B, 2, 0)</f>
        <v>Accident</v>
      </c>
      <c r="H4" t="str">
        <f>VLOOKUP(Transactions!V4, lookups!A:C, 3, 0)</f>
        <v>PAID Personal Accident &amp; DI Rider, and Accident Express</v>
      </c>
      <c r="I4" s="1">
        <f>Transactions!K4</f>
        <v>45827</v>
      </c>
      <c r="J4" s="1">
        <f>Transactions!K4</f>
        <v>45827</v>
      </c>
      <c r="L4" t="s">
        <v>23</v>
      </c>
      <c r="M4" t="s">
        <v>77</v>
      </c>
      <c r="N4" t="str">
        <f>Transactions!W4</f>
        <v>01VK1880000</v>
      </c>
      <c r="O4">
        <f>Transactions!M4</f>
        <v>18.329999999999998</v>
      </c>
      <c r="P4">
        <f>Transactions!M4</f>
        <v>18.329999999999998</v>
      </c>
      <c r="Q4" s="1">
        <f>Transactions!I4</f>
        <v>45950</v>
      </c>
      <c r="R4">
        <f>IF(Transactions!O4&lt;&gt;0, Transactions!O4, Transactions!P4)</f>
        <v>12.83</v>
      </c>
      <c r="S4" s="1">
        <f>Transactions!J4</f>
        <v>45980</v>
      </c>
      <c r="T4">
        <v>1</v>
      </c>
      <c r="V4" t="str">
        <f>Transactions!V4</f>
        <v>MIAC 24 HR ACCIDENT EXPENSE FL</v>
      </c>
    </row>
    <row r="5" spans="1:22" x14ac:dyDescent="0.3">
      <c r="A5">
        <f>Transactions!B5</f>
        <v>1246366</v>
      </c>
      <c r="C5" t="str">
        <f>Transactions!F5</f>
        <v>AGUILAR, GENEVA</v>
      </c>
      <c r="D5" t="s">
        <v>22</v>
      </c>
      <c r="E5" t="s">
        <v>24</v>
      </c>
      <c r="F5" t="str">
        <f>Transactions!T5</f>
        <v>TX</v>
      </c>
      <c r="G5" t="str">
        <f>VLOOKUP(Transactions!V5, lookups!A:B, 2, 0)</f>
        <v>Accident</v>
      </c>
      <c r="H5" t="str">
        <f>VLOOKUP(Transactions!V5, lookups!A:C, 3, 0)</f>
        <v xml:space="preserve">PAID Personal Accident &amp; DI Rider, and Accident Express </v>
      </c>
      <c r="I5" s="1">
        <f>Transactions!K5</f>
        <v>45910</v>
      </c>
      <c r="J5" s="1">
        <f>Transactions!K5</f>
        <v>45910</v>
      </c>
      <c r="L5" t="s">
        <v>23</v>
      </c>
      <c r="M5" t="s">
        <v>77</v>
      </c>
      <c r="N5" t="str">
        <f>Transactions!W5</f>
        <v>01VK1880000</v>
      </c>
      <c r="O5">
        <f>Transactions!M5</f>
        <v>-18.329999999999998</v>
      </c>
      <c r="P5">
        <f>Transactions!M5</f>
        <v>-18.329999999999998</v>
      </c>
      <c r="Q5" s="1">
        <f>Transactions!I5</f>
        <v>45951</v>
      </c>
      <c r="R5">
        <f>IF(Transactions!O5&lt;&gt;0, Transactions!O5, Transactions!P5)</f>
        <v>-12.83</v>
      </c>
      <c r="S5" s="1">
        <f>Transactions!J5</f>
        <v>45971</v>
      </c>
      <c r="T5">
        <v>1</v>
      </c>
      <c r="V5" t="str">
        <f>Transactions!V5</f>
        <v>PAID ENHANCED - 24 HR ACC POLICY 1 UNIT</v>
      </c>
    </row>
    <row r="6" spans="1:22" x14ac:dyDescent="0.3">
      <c r="A6">
        <f>Transactions!B6</f>
        <v>1253910</v>
      </c>
      <c r="C6" t="str">
        <f>Transactions!F6</f>
        <v>BLOOMER, RAYMOND</v>
      </c>
      <c r="D6" t="s">
        <v>22</v>
      </c>
      <c r="E6" t="s">
        <v>24</v>
      </c>
      <c r="F6" t="str">
        <f>Transactions!T6</f>
        <v>TX</v>
      </c>
      <c r="G6" t="str">
        <f>VLOOKUP(Transactions!V6, lookups!A:B, 2, 0)</f>
        <v>Dental with Vision</v>
      </c>
      <c r="H6" t="str">
        <f>VLOOKUP(Transactions!V6, lookups!A:C, 3, 0)</f>
        <v xml:space="preserve">Dental, Vision, Hearing &amp; Dental, Vision, Hearing Select </v>
      </c>
      <c r="I6" s="1">
        <f>Transactions!K6</f>
        <v>45946</v>
      </c>
      <c r="J6" s="1">
        <f>Transactions!K6</f>
        <v>45946</v>
      </c>
      <c r="L6" t="s">
        <v>23</v>
      </c>
      <c r="M6" t="s">
        <v>77</v>
      </c>
      <c r="N6" t="str">
        <f>Transactions!W6</f>
        <v>01VK5580000</v>
      </c>
      <c r="O6">
        <f>Transactions!M6</f>
        <v>56.15</v>
      </c>
      <c r="P6">
        <f>Transactions!M6</f>
        <v>56.15</v>
      </c>
      <c r="Q6" s="1">
        <f>Transactions!I6</f>
        <v>45946</v>
      </c>
      <c r="R6">
        <f>IF(Transactions!O6&lt;&gt;0, Transactions!O6, Transactions!P6)</f>
        <v>32.29</v>
      </c>
      <c r="S6" s="1">
        <f>Transactions!J6</f>
        <v>45977</v>
      </c>
      <c r="T6">
        <v>1</v>
      </c>
      <c r="V6" t="str">
        <f>Transactions!V6</f>
        <v>DVH REFRESH, GENERIC PLAN, $3,000 PY MAX</v>
      </c>
    </row>
    <row r="7" spans="1:22" x14ac:dyDescent="0.3">
      <c r="A7">
        <f>Transactions!B7</f>
        <v>1253910</v>
      </c>
      <c r="C7" t="str">
        <f>Transactions!F7</f>
        <v>BLOOMER, RAYMOND</v>
      </c>
      <c r="D7" t="s">
        <v>22</v>
      </c>
      <c r="E7" t="s">
        <v>24</v>
      </c>
      <c r="F7" t="str">
        <f>Transactions!T7</f>
        <v>TX</v>
      </c>
      <c r="G7" t="str">
        <f>VLOOKUP(Transactions!V7, lookups!A:B, 2, 0)</f>
        <v>Dental with Vision</v>
      </c>
      <c r="H7" t="str">
        <f>VLOOKUP(Transactions!V7, lookups!A:C, 3, 0)</f>
        <v xml:space="preserve">Dental, Vision, Hearing &amp; Dental, Vision, Hearing Select </v>
      </c>
      <c r="I7" s="1">
        <f>Transactions!K7</f>
        <v>45946</v>
      </c>
      <c r="J7" s="1">
        <f>Transactions!K7</f>
        <v>45946</v>
      </c>
      <c r="L7" t="s">
        <v>23</v>
      </c>
      <c r="M7" t="s">
        <v>77</v>
      </c>
      <c r="N7" t="str">
        <f>Transactions!W7</f>
        <v>01VK5580000</v>
      </c>
      <c r="O7">
        <f>Transactions!M7</f>
        <v>-56.15</v>
      </c>
      <c r="P7">
        <f>Transactions!M7</f>
        <v>-56.15</v>
      </c>
      <c r="Q7" s="1">
        <f>Transactions!I7</f>
        <v>45950</v>
      </c>
      <c r="R7">
        <f>IF(Transactions!O7&lt;&gt;0, Transactions!O7, Transactions!P7)</f>
        <v>-32.29</v>
      </c>
      <c r="S7" s="1">
        <f>Transactions!J7</f>
        <v>45977</v>
      </c>
      <c r="T7">
        <v>1</v>
      </c>
      <c r="V7" t="str">
        <f>Transactions!V7</f>
        <v>DVH REFRESH, GENERIC PLAN, $3,000 PY MAX</v>
      </c>
    </row>
    <row r="8" spans="1:22" x14ac:dyDescent="0.3">
      <c r="A8">
        <f>Transactions!B8</f>
        <v>1254794</v>
      </c>
      <c r="C8" t="str">
        <f>Transactions!F8</f>
        <v>HENRY, JOSHUA</v>
      </c>
      <c r="D8" t="s">
        <v>22</v>
      </c>
      <c r="E8" t="s">
        <v>24</v>
      </c>
      <c r="F8" t="str">
        <f>Transactions!T8</f>
        <v>TX</v>
      </c>
      <c r="G8" t="str">
        <f>VLOOKUP(Transactions!V8, lookups!A:B, 2, 0)</f>
        <v>Dental with Vision</v>
      </c>
      <c r="H8" t="str">
        <f>VLOOKUP(Transactions!V8, lookups!A:C, 3, 0)</f>
        <v xml:space="preserve">Dental, Vision, Hearing &amp; Dental, Vision, Hearing Select </v>
      </c>
      <c r="I8" s="1">
        <f>Transactions!K8</f>
        <v>45946</v>
      </c>
      <c r="J8" s="1">
        <f>Transactions!K8</f>
        <v>45946</v>
      </c>
      <c r="L8" t="s">
        <v>23</v>
      </c>
      <c r="M8" t="s">
        <v>77</v>
      </c>
      <c r="N8" t="str">
        <f>Transactions!W8</f>
        <v>01VK5540000</v>
      </c>
      <c r="O8">
        <f>Transactions!M8</f>
        <v>65.19</v>
      </c>
      <c r="P8">
        <f>Transactions!M8</f>
        <v>65.19</v>
      </c>
      <c r="Q8" s="1">
        <f>Transactions!I8</f>
        <v>45950</v>
      </c>
      <c r="R8">
        <f>IF(Transactions!O8&lt;&gt;0, Transactions!O8, Transactions!P8)</f>
        <v>37.479999999999997</v>
      </c>
      <c r="S8" s="1">
        <f>Transactions!J8</f>
        <v>45977</v>
      </c>
      <c r="T8">
        <v>1</v>
      </c>
      <c r="V8" t="str">
        <f>Transactions!V8</f>
        <v>DVH REFRESH, GENERIC PLAN, $5,000 PY MAX</v>
      </c>
    </row>
    <row r="9" spans="1:22" x14ac:dyDescent="0.3">
      <c r="A9">
        <f>Transactions!B9</f>
        <v>1254794</v>
      </c>
      <c r="C9" t="str">
        <f>Transactions!F9</f>
        <v>HENRY, JOSHUA</v>
      </c>
      <c r="D9" t="s">
        <v>22</v>
      </c>
      <c r="E9" t="s">
        <v>24</v>
      </c>
      <c r="F9" t="str">
        <f>Transactions!T9</f>
        <v>TX</v>
      </c>
      <c r="G9" t="str">
        <f>VLOOKUP(Transactions!V9, lookups!A:B, 2, 0)</f>
        <v>Dental with Vision</v>
      </c>
      <c r="H9" t="str">
        <f>VLOOKUP(Transactions!V9, lookups!A:C, 3, 0)</f>
        <v xml:space="preserve">Dental, Vision, Hearing &amp; Dental, Vision, Hearing Select </v>
      </c>
      <c r="I9" s="1">
        <f>Transactions!K9</f>
        <v>45946</v>
      </c>
      <c r="J9" s="1">
        <f>Transactions!K9</f>
        <v>45946</v>
      </c>
      <c r="L9" t="s">
        <v>23</v>
      </c>
      <c r="M9" t="s">
        <v>77</v>
      </c>
      <c r="N9" t="str">
        <f>Transactions!W9</f>
        <v>01VK5540000</v>
      </c>
      <c r="O9">
        <f>Transactions!M9</f>
        <v>-65.19</v>
      </c>
      <c r="P9">
        <f>Transactions!M9</f>
        <v>-65.19</v>
      </c>
      <c r="Q9" s="1">
        <f>Transactions!I9</f>
        <v>45959</v>
      </c>
      <c r="R9">
        <f>IF(Transactions!O9&lt;&gt;0, Transactions!O9, Transactions!P9)</f>
        <v>-37.479999999999997</v>
      </c>
      <c r="S9" s="1">
        <f>Transactions!J9</f>
        <v>45977</v>
      </c>
      <c r="T9">
        <v>1</v>
      </c>
      <c r="V9" t="str">
        <f>Transactions!V9</f>
        <v>DVH REFRESH, GENERIC PLAN, $5,000 PY MAX</v>
      </c>
    </row>
    <row r="10" spans="1:22" x14ac:dyDescent="0.3">
      <c r="A10">
        <f>Transactions!B10</f>
        <v>1229522</v>
      </c>
      <c r="C10" t="str">
        <f>Transactions!F10</f>
        <v>ROULHAC, STACY</v>
      </c>
      <c r="D10" t="s">
        <v>22</v>
      </c>
      <c r="E10" t="s">
        <v>24</v>
      </c>
      <c r="F10" t="str">
        <f>Transactions!T10</f>
        <v>FL</v>
      </c>
      <c r="G10" t="str">
        <f>VLOOKUP(Transactions!V10, lookups!A:B, 2, 0)</f>
        <v>Hospital Indemnity</v>
      </c>
      <c r="H10" t="str">
        <f>VLOOKUP(Transactions!V10, lookups!A:C, 3, 0)</f>
        <v>Hospital Indemnity Select 18-64.5</v>
      </c>
      <c r="I10" s="1">
        <f>Transactions!K10</f>
        <v>45832</v>
      </c>
      <c r="J10" s="1">
        <f>Transactions!K10</f>
        <v>45832</v>
      </c>
      <c r="L10" t="s">
        <v>23</v>
      </c>
      <c r="M10" t="s">
        <v>77</v>
      </c>
      <c r="N10" t="str">
        <f>Transactions!W10</f>
        <v>01VK1880000</v>
      </c>
      <c r="O10">
        <f>Transactions!M10</f>
        <v>12.13</v>
      </c>
      <c r="P10">
        <f>Transactions!M10</f>
        <v>12.13</v>
      </c>
      <c r="Q10" s="1">
        <f>Transactions!I10</f>
        <v>45950</v>
      </c>
      <c r="R10">
        <f>IF(Transactions!O10&lt;&gt;0, Transactions!O10, Transactions!P10)</f>
        <v>6.07</v>
      </c>
      <c r="S10" s="1">
        <f>Transactions!J10</f>
        <v>45985</v>
      </c>
      <c r="T10">
        <v>1</v>
      </c>
      <c r="V10" t="str">
        <f>Transactions!V10</f>
        <v>HOSPITAL INDEMNITY SELECT</v>
      </c>
    </row>
    <row r="11" spans="1:22" x14ac:dyDescent="0.3">
      <c r="A11">
        <f>Transactions!B11</f>
        <v>1230892</v>
      </c>
      <c r="C11" t="str">
        <f>Transactions!F11</f>
        <v>LOEZA, FERNANDO</v>
      </c>
      <c r="D11" t="s">
        <v>22</v>
      </c>
      <c r="E11" t="s">
        <v>24</v>
      </c>
      <c r="F11" t="str">
        <f>Transactions!T11</f>
        <v>TX</v>
      </c>
      <c r="G11" t="str">
        <f>VLOOKUP(Transactions!V11, lookups!A:B, 2, 0)</f>
        <v>Hospital Indemnity</v>
      </c>
      <c r="H11" t="str">
        <f>VLOOKUP(Transactions!V11, lookups!A:C, 3, 0)</f>
        <v>Hospital Indemnity Select 18-64.5</v>
      </c>
      <c r="I11" s="1">
        <f>Transactions!K11</f>
        <v>45834</v>
      </c>
      <c r="J11" s="1">
        <f>Transactions!K11</f>
        <v>45834</v>
      </c>
      <c r="L11" t="s">
        <v>23</v>
      </c>
      <c r="M11" t="s">
        <v>77</v>
      </c>
      <c r="N11" t="str">
        <f>Transactions!W11</f>
        <v>01VK1880000</v>
      </c>
      <c r="O11">
        <f>Transactions!M11</f>
        <v>21.68</v>
      </c>
      <c r="P11">
        <f>Transactions!M11</f>
        <v>21.68</v>
      </c>
      <c r="Q11" s="1">
        <f>Transactions!I11</f>
        <v>45954</v>
      </c>
      <c r="R11">
        <f>IF(Transactions!O11&lt;&gt;0, Transactions!O11, Transactions!P11)</f>
        <v>10.84</v>
      </c>
      <c r="S11" s="1">
        <f>Transactions!J11</f>
        <v>45987</v>
      </c>
      <c r="T11">
        <v>1</v>
      </c>
      <c r="V11" t="str">
        <f>Transactions!V11</f>
        <v>HOSPITAL INDEMNITY SELECT</v>
      </c>
    </row>
    <row r="12" spans="1:22" x14ac:dyDescent="0.3">
      <c r="A12">
        <f>Transactions!B12</f>
        <v>1207538</v>
      </c>
      <c r="C12" t="str">
        <f>Transactions!F12</f>
        <v>CHERNAK, SHANDA</v>
      </c>
      <c r="D12" t="s">
        <v>22</v>
      </c>
      <c r="E12" t="s">
        <v>24</v>
      </c>
      <c r="F12" t="str">
        <f>Transactions!T12</f>
        <v>GA</v>
      </c>
      <c r="G12" t="str">
        <f>VLOOKUP(Transactions!V12, lookups!A:B, 2, 0)</f>
        <v>Dental with Vision</v>
      </c>
      <c r="H12" t="str">
        <f>VLOOKUP(Transactions!V12, lookups!A:C, 3, 0)</f>
        <v xml:space="preserve">Dental, Vision, Hearing &amp; Dental, Vision, Hearing Select </v>
      </c>
      <c r="I12" s="1">
        <f>Transactions!K12</f>
        <v>45726</v>
      </c>
      <c r="J12" s="1">
        <f>Transactions!K12</f>
        <v>45726</v>
      </c>
      <c r="L12" t="s">
        <v>23</v>
      </c>
      <c r="M12" t="s">
        <v>77</v>
      </c>
      <c r="N12" t="str">
        <f>Transactions!W12</f>
        <v>01VK1700000</v>
      </c>
      <c r="O12">
        <f>Transactions!M12</f>
        <v>143.99</v>
      </c>
      <c r="P12">
        <f>Transactions!M12</f>
        <v>143.99</v>
      </c>
      <c r="Q12" s="1">
        <f>Transactions!I12</f>
        <v>45952</v>
      </c>
      <c r="R12">
        <f>IF(Transactions!O12&lt;&gt;0, Transactions!O12, Transactions!P12)</f>
        <v>82.79</v>
      </c>
      <c r="S12" s="1">
        <f>Transactions!J12</f>
        <v>45971</v>
      </c>
      <c r="T12">
        <v>1</v>
      </c>
      <c r="V12" t="str">
        <f>Transactions!V12</f>
        <v>DVH SELECT $5,000 POL MAX WITH $100 DEDUCT</v>
      </c>
    </row>
    <row r="13" spans="1:22" x14ac:dyDescent="0.3">
      <c r="A13">
        <f>Transactions!B13</f>
        <v>1209860</v>
      </c>
      <c r="C13" t="str">
        <f>Transactions!F13</f>
        <v>HACK, AARON</v>
      </c>
      <c r="D13" t="s">
        <v>22</v>
      </c>
      <c r="E13" t="s">
        <v>24</v>
      </c>
      <c r="F13" t="str">
        <f>Transactions!T13</f>
        <v>NC</v>
      </c>
      <c r="G13" t="str">
        <f>VLOOKUP(Transactions!V13, lookups!A:B, 2, 0)</f>
        <v>Dental with Vision</v>
      </c>
      <c r="H13" t="str">
        <f>VLOOKUP(Transactions!V13, lookups!A:C, 3, 0)</f>
        <v xml:space="preserve">Dental, Vision, Hearing &amp; Dental, Vision, Hearing Select </v>
      </c>
      <c r="I13" s="1">
        <f>Transactions!K13</f>
        <v>45734</v>
      </c>
      <c r="J13" s="1">
        <f>Transactions!K13</f>
        <v>45734</v>
      </c>
      <c r="L13" t="s">
        <v>23</v>
      </c>
      <c r="M13" t="s">
        <v>77</v>
      </c>
      <c r="N13" t="str">
        <f>Transactions!W13</f>
        <v>01VK1700000</v>
      </c>
      <c r="O13">
        <f>Transactions!M13</f>
        <v>44.35</v>
      </c>
      <c r="P13">
        <f>Transactions!M13</f>
        <v>44.35</v>
      </c>
      <c r="Q13" s="1">
        <f>Transactions!I13</f>
        <v>45950</v>
      </c>
      <c r="R13">
        <f>IF(Transactions!O13&lt;&gt;0, Transactions!O13, Transactions!P13)</f>
        <v>25.5</v>
      </c>
      <c r="S13" s="1">
        <f>Transactions!J13</f>
        <v>45979</v>
      </c>
      <c r="T13">
        <v>1</v>
      </c>
      <c r="V13" t="str">
        <f>Transactions!V13</f>
        <v>DVH SELECT $5,000 POL MAX WITH $0 DEDUCT</v>
      </c>
    </row>
    <row r="14" spans="1:22" x14ac:dyDescent="0.3">
      <c r="A14">
        <f>Transactions!B14</f>
        <v>1210903</v>
      </c>
      <c r="C14" t="str">
        <f>Transactions!F14</f>
        <v>FREED, VANCE</v>
      </c>
      <c r="D14" t="s">
        <v>22</v>
      </c>
      <c r="E14" t="s">
        <v>24</v>
      </c>
      <c r="F14" t="str">
        <f>Transactions!T14</f>
        <v>WY</v>
      </c>
      <c r="G14" t="str">
        <f>VLOOKUP(Transactions!V14, lookups!A:B, 2, 0)</f>
        <v>Dental with Vision</v>
      </c>
      <c r="H14" t="str">
        <f>VLOOKUP(Transactions!V14, lookups!A:C, 3, 0)</f>
        <v xml:space="preserve">Dental, Vision, Hearing &amp; Dental, Vision, Hearing Select </v>
      </c>
      <c r="I14" s="1">
        <f>Transactions!K14</f>
        <v>45737</v>
      </c>
      <c r="J14" s="1">
        <f>Transactions!K14</f>
        <v>45737</v>
      </c>
      <c r="L14" t="s">
        <v>23</v>
      </c>
      <c r="M14" t="s">
        <v>77</v>
      </c>
      <c r="N14" t="str">
        <f>Transactions!W14</f>
        <v>01VK1700000</v>
      </c>
      <c r="O14">
        <f>Transactions!M14</f>
        <v>134.88</v>
      </c>
      <c r="P14">
        <f>Transactions!M14</f>
        <v>134.88</v>
      </c>
      <c r="Q14" s="1">
        <f>Transactions!I14</f>
        <v>45951</v>
      </c>
      <c r="R14">
        <f>IF(Transactions!O14&lt;&gt;0, Transactions!O14, Transactions!P14)</f>
        <v>77.56</v>
      </c>
      <c r="S14" s="1">
        <f>Transactions!J14</f>
        <v>45982</v>
      </c>
      <c r="T14">
        <v>1</v>
      </c>
      <c r="V14" t="str">
        <f>Transactions!V14</f>
        <v>DVH SELECT $5,000 POL MAX WITH $0 DEDUCT</v>
      </c>
    </row>
    <row r="15" spans="1:22" x14ac:dyDescent="0.3">
      <c r="A15">
        <f>Transactions!B15</f>
        <v>1208887</v>
      </c>
      <c r="C15" t="str">
        <f>Transactions!F15</f>
        <v>WALLS, SHARI</v>
      </c>
      <c r="D15" t="s">
        <v>22</v>
      </c>
      <c r="E15" t="s">
        <v>24</v>
      </c>
      <c r="F15" t="str">
        <f>Transactions!T15</f>
        <v>MO</v>
      </c>
      <c r="G15" t="str">
        <f>VLOOKUP(Transactions!V15, lookups!A:B, 2, 0)</f>
        <v>Dental with Vision</v>
      </c>
      <c r="H15" t="str">
        <f>VLOOKUP(Transactions!V15, lookups!A:C, 3, 0)</f>
        <v xml:space="preserve">Dental, Vision, Hearing &amp; Dental, Vision, Hearing Select </v>
      </c>
      <c r="I15" s="1">
        <f>Transactions!K15</f>
        <v>45733</v>
      </c>
      <c r="J15" s="1">
        <f>Transactions!K15</f>
        <v>45733</v>
      </c>
      <c r="L15" t="s">
        <v>23</v>
      </c>
      <c r="M15" t="s">
        <v>77</v>
      </c>
      <c r="N15" t="str">
        <f>Transactions!W15</f>
        <v>01VK1890000</v>
      </c>
      <c r="O15">
        <f>Transactions!M15</f>
        <v>59.11</v>
      </c>
      <c r="P15">
        <f>Transactions!M15</f>
        <v>59.11</v>
      </c>
      <c r="Q15" s="1">
        <f>Transactions!I15</f>
        <v>45947</v>
      </c>
      <c r="R15">
        <f>IF(Transactions!O15&lt;&gt;0, Transactions!O15, Transactions!P15)</f>
        <v>33.99</v>
      </c>
      <c r="S15" s="1">
        <f>Transactions!J15</f>
        <v>45978</v>
      </c>
      <c r="T15">
        <v>1</v>
      </c>
      <c r="V15" t="str">
        <f>Transactions!V15</f>
        <v>DVH SELECT $5,000 POL MAX WITH $100 DEDUCT</v>
      </c>
    </row>
    <row r="16" spans="1:22" x14ac:dyDescent="0.3">
      <c r="A16">
        <f>Transactions!B16</f>
        <v>1212868</v>
      </c>
      <c r="C16" t="str">
        <f>Transactions!F16</f>
        <v>JOHNSON, JEANA</v>
      </c>
      <c r="D16" t="s">
        <v>22</v>
      </c>
      <c r="E16" t="s">
        <v>24</v>
      </c>
      <c r="F16" t="str">
        <f>Transactions!T16</f>
        <v>TX</v>
      </c>
      <c r="G16" t="str">
        <f>VLOOKUP(Transactions!V16, lookups!A:B, 2, 0)</f>
        <v>Dental with Vision</v>
      </c>
      <c r="H16" t="str">
        <f>VLOOKUP(Transactions!V16, lookups!A:C, 3, 0)</f>
        <v xml:space="preserve">Dental, Vision, Hearing &amp; Dental, Vision, Hearing Select </v>
      </c>
      <c r="I16" s="1">
        <f>Transactions!K16</f>
        <v>45748</v>
      </c>
      <c r="J16" s="1">
        <f>Transactions!K16</f>
        <v>45748</v>
      </c>
      <c r="L16" t="s">
        <v>23</v>
      </c>
      <c r="M16" t="s">
        <v>77</v>
      </c>
      <c r="N16" t="str">
        <f>Transactions!W16</f>
        <v>01VK1870000</v>
      </c>
      <c r="O16">
        <f>Transactions!M16</f>
        <v>59.19</v>
      </c>
      <c r="P16">
        <f>Transactions!M16</f>
        <v>59.19</v>
      </c>
      <c r="Q16" s="1">
        <f>Transactions!I16</f>
        <v>45958</v>
      </c>
      <c r="R16">
        <f>IF(Transactions!O16&lt;&gt;0, Transactions!O16, Transactions!P16)</f>
        <v>34.03</v>
      </c>
      <c r="S16" s="1">
        <f>Transactions!J16</f>
        <v>45992</v>
      </c>
      <c r="T16">
        <v>1</v>
      </c>
      <c r="V16" t="str">
        <f>Transactions!V16</f>
        <v>DVH SELECT $3,000 POL MAX WITH $0 DEDUCT</v>
      </c>
    </row>
    <row r="17" spans="1:22" x14ac:dyDescent="0.3">
      <c r="A17">
        <f>Transactions!B17</f>
        <v>1215325</v>
      </c>
      <c r="C17" t="str">
        <f>Transactions!F17</f>
        <v>RANDOLPH, JASMINE</v>
      </c>
      <c r="D17" t="s">
        <v>22</v>
      </c>
      <c r="E17" t="s">
        <v>24</v>
      </c>
      <c r="F17" t="str">
        <f>Transactions!T17</f>
        <v>TN</v>
      </c>
      <c r="G17" t="str">
        <f>VLOOKUP(Transactions!V17, lookups!A:B, 2, 0)</f>
        <v>Dental with Vision</v>
      </c>
      <c r="H17" t="str">
        <f>VLOOKUP(Transactions!V17, lookups!A:C, 3, 0)</f>
        <v xml:space="preserve">Dental, Vision, Hearing &amp; Dental, Vision, Hearing Select </v>
      </c>
      <c r="I17" s="1">
        <f>Transactions!K17</f>
        <v>45756</v>
      </c>
      <c r="J17" s="1">
        <f>Transactions!K17</f>
        <v>45756</v>
      </c>
      <c r="L17" t="s">
        <v>23</v>
      </c>
      <c r="M17" t="s">
        <v>77</v>
      </c>
      <c r="N17" t="str">
        <f>Transactions!W17</f>
        <v>01VK1880000</v>
      </c>
      <c r="O17">
        <f>Transactions!M17</f>
        <v>53.65</v>
      </c>
      <c r="P17">
        <f>Transactions!M17</f>
        <v>53.65</v>
      </c>
      <c r="Q17" s="1">
        <f>Transactions!I17</f>
        <v>45950</v>
      </c>
      <c r="R17">
        <f>IF(Transactions!O17&lt;&gt;0, Transactions!O17, Transactions!P17)</f>
        <v>30.85</v>
      </c>
      <c r="S17" s="1">
        <f>Transactions!J17</f>
        <v>45970</v>
      </c>
      <c r="T17">
        <v>1</v>
      </c>
      <c r="V17" t="str">
        <f>Transactions!V17</f>
        <v>DVH SELECT $5,000 POL MAX WITH $0 DEDUCT</v>
      </c>
    </row>
    <row r="18" spans="1:22" x14ac:dyDescent="0.3">
      <c r="A18">
        <f>Transactions!B18</f>
        <v>1216803</v>
      </c>
      <c r="C18" t="str">
        <f>Transactions!F18</f>
        <v>BREA, PAUL</v>
      </c>
      <c r="D18" t="s">
        <v>22</v>
      </c>
      <c r="E18" t="s">
        <v>24</v>
      </c>
      <c r="F18" t="str">
        <f>Transactions!T18</f>
        <v>TX</v>
      </c>
      <c r="G18" t="str">
        <f>VLOOKUP(Transactions!V18, lookups!A:B, 2, 0)</f>
        <v>Dental with Vision</v>
      </c>
      <c r="H18" t="str">
        <f>VLOOKUP(Transactions!V18, lookups!A:C, 3, 0)</f>
        <v xml:space="preserve">Dental, Vision, Hearing &amp; Dental, Vision, Hearing Select </v>
      </c>
      <c r="I18" s="1">
        <f>Transactions!K18</f>
        <v>45764</v>
      </c>
      <c r="J18" s="1">
        <f>Transactions!K18</f>
        <v>45764</v>
      </c>
      <c r="L18" t="s">
        <v>23</v>
      </c>
      <c r="M18" t="s">
        <v>77</v>
      </c>
      <c r="N18" t="str">
        <f>Transactions!W18</f>
        <v>01VK2070000</v>
      </c>
      <c r="O18">
        <f>Transactions!M18</f>
        <v>100.5</v>
      </c>
      <c r="P18">
        <f>Transactions!M18</f>
        <v>100.5</v>
      </c>
      <c r="Q18" s="1">
        <f>Transactions!I18</f>
        <v>45947</v>
      </c>
      <c r="R18">
        <f>IF(Transactions!O18&lt;&gt;0, Transactions!O18, Transactions!P18)</f>
        <v>57.79</v>
      </c>
      <c r="S18" s="1">
        <f>Transactions!J18</f>
        <v>45978</v>
      </c>
      <c r="T18">
        <v>1</v>
      </c>
      <c r="V18" t="str">
        <f>Transactions!V18</f>
        <v>DVH SELECT $3,000 POL MAX WITH $0 DEDUCT</v>
      </c>
    </row>
    <row r="19" spans="1:22" x14ac:dyDescent="0.3">
      <c r="A19">
        <f>Transactions!B19</f>
        <v>1216959</v>
      </c>
      <c r="C19" t="str">
        <f>Transactions!F19</f>
        <v>BAKER, TERRANCE</v>
      </c>
      <c r="D19" t="s">
        <v>22</v>
      </c>
      <c r="E19" t="s">
        <v>24</v>
      </c>
      <c r="F19" t="str">
        <f>Transactions!T19</f>
        <v>AL</v>
      </c>
      <c r="G19" t="str">
        <f>VLOOKUP(Transactions!V19, lookups!A:B, 2, 0)</f>
        <v>Dental with Vision</v>
      </c>
      <c r="H19" t="str">
        <f>VLOOKUP(Transactions!V19, lookups!A:C, 3, 0)</f>
        <v xml:space="preserve">Dental, Vision, Hearing &amp; Dental, Vision, Hearing Select </v>
      </c>
      <c r="I19" s="1">
        <f>Transactions!K19</f>
        <v>45765</v>
      </c>
      <c r="J19" s="1">
        <f>Transactions!K19</f>
        <v>45765</v>
      </c>
      <c r="L19" t="s">
        <v>23</v>
      </c>
      <c r="M19" t="s">
        <v>77</v>
      </c>
      <c r="N19" t="str">
        <f>Transactions!W19</f>
        <v>01VK1890000</v>
      </c>
      <c r="O19">
        <f>Transactions!M19</f>
        <v>35.75</v>
      </c>
      <c r="P19">
        <f>Transactions!M19</f>
        <v>35.75</v>
      </c>
      <c r="Q19" s="1">
        <f>Transactions!I19</f>
        <v>45950</v>
      </c>
      <c r="R19">
        <f>IF(Transactions!O19&lt;&gt;0, Transactions!O19, Transactions!P19)</f>
        <v>20.56</v>
      </c>
      <c r="S19" s="1">
        <f>Transactions!J19</f>
        <v>45979</v>
      </c>
      <c r="T19">
        <v>1</v>
      </c>
      <c r="V19" t="str">
        <f>Transactions!V19</f>
        <v>DVH SELECT $5,000 POL MAX WITH $100 DEDUCT</v>
      </c>
    </row>
    <row r="20" spans="1:22" x14ac:dyDescent="0.3">
      <c r="A20">
        <f>Transactions!B20</f>
        <v>1216964</v>
      </c>
      <c r="C20" t="str">
        <f>Transactions!F20</f>
        <v>YOUNG, KALIYAH</v>
      </c>
      <c r="D20" t="s">
        <v>22</v>
      </c>
      <c r="E20" t="s">
        <v>24</v>
      </c>
      <c r="F20" t="str">
        <f>Transactions!T20</f>
        <v>TX</v>
      </c>
      <c r="G20" t="str">
        <f>VLOOKUP(Transactions!V20, lookups!A:B, 2, 0)</f>
        <v>Dental with Vision</v>
      </c>
      <c r="H20" t="str">
        <f>VLOOKUP(Transactions!V20, lookups!A:C, 3, 0)</f>
        <v xml:space="preserve">Dental, Vision, Hearing &amp; Dental, Vision, Hearing Select </v>
      </c>
      <c r="I20" s="1">
        <f>Transactions!K20</f>
        <v>45765</v>
      </c>
      <c r="J20" s="1">
        <f>Transactions!K20</f>
        <v>45765</v>
      </c>
      <c r="L20" t="s">
        <v>23</v>
      </c>
      <c r="M20" t="s">
        <v>77</v>
      </c>
      <c r="N20" t="str">
        <f>Transactions!W20</f>
        <v>01VK1880000</v>
      </c>
      <c r="O20">
        <f>Transactions!M20</f>
        <v>44.85</v>
      </c>
      <c r="P20">
        <f>Transactions!M20</f>
        <v>44.85</v>
      </c>
      <c r="Q20" s="1">
        <f>Transactions!I20</f>
        <v>45950</v>
      </c>
      <c r="R20">
        <f>IF(Transactions!O20&lt;&gt;0, Transactions!O20, Transactions!P20)</f>
        <v>25.79</v>
      </c>
      <c r="S20" s="1">
        <f>Transactions!J20</f>
        <v>45979</v>
      </c>
      <c r="T20">
        <v>1</v>
      </c>
      <c r="V20" t="str">
        <f>Transactions!V20</f>
        <v>DVH SELECT $5,000 POL MAX WITH $0 DEDUCT</v>
      </c>
    </row>
    <row r="21" spans="1:22" x14ac:dyDescent="0.3">
      <c r="A21">
        <f>Transactions!B21</f>
        <v>1216965</v>
      </c>
      <c r="C21" t="str">
        <f>Transactions!F21</f>
        <v>BAKER, CANDICE</v>
      </c>
      <c r="D21" t="s">
        <v>22</v>
      </c>
      <c r="E21" t="s">
        <v>24</v>
      </c>
      <c r="F21" t="str">
        <f>Transactions!T21</f>
        <v>AL</v>
      </c>
      <c r="G21" t="str">
        <f>VLOOKUP(Transactions!V21, lookups!A:B, 2, 0)</f>
        <v>Dental with Vision</v>
      </c>
      <c r="H21" t="str">
        <f>VLOOKUP(Transactions!V21, lookups!A:C, 3, 0)</f>
        <v xml:space="preserve">Dental, Vision, Hearing &amp; Dental, Vision, Hearing Select </v>
      </c>
      <c r="I21" s="1">
        <f>Transactions!K21</f>
        <v>45765</v>
      </c>
      <c r="J21" s="1">
        <f>Transactions!K21</f>
        <v>45765</v>
      </c>
      <c r="L21" t="s">
        <v>23</v>
      </c>
      <c r="M21" t="s">
        <v>77</v>
      </c>
      <c r="N21" t="str">
        <f>Transactions!W21</f>
        <v>01VK1890000</v>
      </c>
      <c r="O21">
        <f>Transactions!M21</f>
        <v>35.75</v>
      </c>
      <c r="P21">
        <f>Transactions!M21</f>
        <v>35.75</v>
      </c>
      <c r="Q21" s="1">
        <f>Transactions!I21</f>
        <v>45950</v>
      </c>
      <c r="R21">
        <f>IF(Transactions!O21&lt;&gt;0, Transactions!O21, Transactions!P21)</f>
        <v>20.56</v>
      </c>
      <c r="S21" s="1">
        <f>Transactions!J21</f>
        <v>45979</v>
      </c>
      <c r="T21">
        <v>1</v>
      </c>
      <c r="V21" t="str">
        <f>Transactions!V21</f>
        <v>DVH SELECT $5,000 POL MAX WITH $100 DEDUCT</v>
      </c>
    </row>
    <row r="22" spans="1:22" x14ac:dyDescent="0.3">
      <c r="A22">
        <f>Transactions!B22</f>
        <v>1217516</v>
      </c>
      <c r="C22" t="str">
        <f>Transactions!F22</f>
        <v>THEIS, BENJAMIN</v>
      </c>
      <c r="D22" t="s">
        <v>22</v>
      </c>
      <c r="E22" t="s">
        <v>24</v>
      </c>
      <c r="F22" t="str">
        <f>Transactions!T22</f>
        <v>NE</v>
      </c>
      <c r="G22" t="str">
        <f>VLOOKUP(Transactions!V22, lookups!A:B, 2, 0)</f>
        <v>Dental with Vision</v>
      </c>
      <c r="H22" t="str">
        <f>VLOOKUP(Transactions!V22, lookups!A:C, 3, 0)</f>
        <v xml:space="preserve">Dental, Vision, Hearing &amp; Dental, Vision, Hearing Select </v>
      </c>
      <c r="I22" s="1">
        <f>Transactions!K22</f>
        <v>45769</v>
      </c>
      <c r="J22" s="1">
        <f>Transactions!K22</f>
        <v>45769</v>
      </c>
      <c r="L22" t="s">
        <v>23</v>
      </c>
      <c r="M22" t="s">
        <v>77</v>
      </c>
      <c r="N22" t="str">
        <f>Transactions!W22</f>
        <v>01VK2070000</v>
      </c>
      <c r="O22">
        <f>Transactions!M22</f>
        <v>98.75</v>
      </c>
      <c r="P22">
        <f>Transactions!M22</f>
        <v>98.75</v>
      </c>
      <c r="Q22" s="1">
        <f>Transactions!I22</f>
        <v>45952</v>
      </c>
      <c r="R22">
        <f>IF(Transactions!O22&lt;&gt;0, Transactions!O22, Transactions!P22)</f>
        <v>56.77</v>
      </c>
      <c r="S22" s="1">
        <f>Transactions!J22</f>
        <v>45983</v>
      </c>
      <c r="T22">
        <v>1</v>
      </c>
      <c r="V22" t="str">
        <f>Transactions!V22</f>
        <v>DVH SELECT $5,000 POL MAX WITH $0 DEDUCT</v>
      </c>
    </row>
    <row r="23" spans="1:22" x14ac:dyDescent="0.3">
      <c r="A23">
        <f>Transactions!B23</f>
        <v>1217570</v>
      </c>
      <c r="C23" t="str">
        <f>Transactions!F23</f>
        <v>EVANS, CAROL</v>
      </c>
      <c r="D23" t="s">
        <v>22</v>
      </c>
      <c r="E23" t="s">
        <v>24</v>
      </c>
      <c r="F23" t="str">
        <f>Transactions!T23</f>
        <v>TX</v>
      </c>
      <c r="G23" t="str">
        <f>VLOOKUP(Transactions!V23, lookups!A:B, 2, 0)</f>
        <v>Dental with Vision</v>
      </c>
      <c r="H23" t="str">
        <f>VLOOKUP(Transactions!V23, lookups!A:C, 3, 0)</f>
        <v xml:space="preserve">Dental, Vision, Hearing &amp; Dental, Vision, Hearing Select </v>
      </c>
      <c r="I23" s="1">
        <f>Transactions!K23</f>
        <v>45769</v>
      </c>
      <c r="J23" s="1">
        <f>Transactions!K23</f>
        <v>45769</v>
      </c>
      <c r="L23" t="s">
        <v>23</v>
      </c>
      <c r="M23" t="s">
        <v>77</v>
      </c>
      <c r="N23" t="str">
        <f>Transactions!W23</f>
        <v>01VK2010000</v>
      </c>
      <c r="O23">
        <f>Transactions!M23</f>
        <v>57.91</v>
      </c>
      <c r="P23">
        <f>Transactions!M23</f>
        <v>57.91</v>
      </c>
      <c r="Q23" s="1">
        <f>Transactions!I23</f>
        <v>45952</v>
      </c>
      <c r="R23">
        <f>IF(Transactions!O23&lt;&gt;0, Transactions!O23, Transactions!P23)</f>
        <v>33.299999999999997</v>
      </c>
      <c r="S23" s="1">
        <f>Transactions!J23</f>
        <v>45983</v>
      </c>
      <c r="T23">
        <v>1</v>
      </c>
      <c r="V23" t="str">
        <f>Transactions!V23</f>
        <v>DVH SELECT $3,000 POL MAX WITH $100 DEDUCT</v>
      </c>
    </row>
    <row r="24" spans="1:22" x14ac:dyDescent="0.3">
      <c r="A24">
        <f>Transactions!B24</f>
        <v>1217837</v>
      </c>
      <c r="C24" t="str">
        <f>Transactions!F24</f>
        <v>MOSHIER, HEATHER</v>
      </c>
      <c r="D24" t="s">
        <v>22</v>
      </c>
      <c r="E24" t="s">
        <v>24</v>
      </c>
      <c r="F24" t="str">
        <f>Transactions!T24</f>
        <v>TN</v>
      </c>
      <c r="G24" t="str">
        <f>VLOOKUP(Transactions!V24, lookups!A:B, 2, 0)</f>
        <v>Dental with Vision</v>
      </c>
      <c r="H24" t="str">
        <f>VLOOKUP(Transactions!V24, lookups!A:C, 3, 0)</f>
        <v xml:space="preserve">Dental, Vision, Hearing &amp; Dental, Vision, Hearing Select </v>
      </c>
      <c r="I24" s="1">
        <f>Transactions!K24</f>
        <v>45769</v>
      </c>
      <c r="J24" s="1">
        <f>Transactions!K24</f>
        <v>45769</v>
      </c>
      <c r="L24" t="s">
        <v>23</v>
      </c>
      <c r="M24" t="s">
        <v>77</v>
      </c>
      <c r="N24" t="str">
        <f>Transactions!W24</f>
        <v>01VK2010000</v>
      </c>
      <c r="O24">
        <f>Transactions!M24</f>
        <v>57.91</v>
      </c>
      <c r="P24">
        <f>Transactions!M24</f>
        <v>57.91</v>
      </c>
      <c r="Q24" s="1">
        <f>Transactions!I24</f>
        <v>45952</v>
      </c>
      <c r="R24">
        <f>IF(Transactions!O24&lt;&gt;0, Transactions!O24, Transactions!P24)</f>
        <v>33.299999999999997</v>
      </c>
      <c r="S24" s="1">
        <f>Transactions!J24</f>
        <v>45983</v>
      </c>
      <c r="T24">
        <v>1</v>
      </c>
      <c r="V24" t="str">
        <f>Transactions!V24</f>
        <v>DVH SELECT $3,000 POL MAX WITH $100 DEDUCT</v>
      </c>
    </row>
    <row r="25" spans="1:22" x14ac:dyDescent="0.3">
      <c r="A25">
        <f>Transactions!B25</f>
        <v>1219133</v>
      </c>
      <c r="C25" t="str">
        <f>Transactions!F25</f>
        <v>SHAFF, SANDRA</v>
      </c>
      <c r="D25" t="s">
        <v>22</v>
      </c>
      <c r="E25" t="s">
        <v>24</v>
      </c>
      <c r="F25" t="str">
        <f>Transactions!T25</f>
        <v>FL</v>
      </c>
      <c r="G25" t="str">
        <f>VLOOKUP(Transactions!V25, lookups!A:B, 2, 0)</f>
        <v>Dental with Vision</v>
      </c>
      <c r="H25" t="str">
        <f>VLOOKUP(Transactions!V25, lookups!A:C, 3, 0)</f>
        <v xml:space="preserve">Dental, Vision, Hearing &amp; Dental, Vision, Hearing Select </v>
      </c>
      <c r="I25" s="1">
        <f>Transactions!K25</f>
        <v>45778</v>
      </c>
      <c r="J25" s="1">
        <f>Transactions!K25</f>
        <v>45778</v>
      </c>
      <c r="L25" t="s">
        <v>23</v>
      </c>
      <c r="M25" t="s">
        <v>77</v>
      </c>
      <c r="N25" t="str">
        <f>Transactions!W25</f>
        <v>01VK1790000</v>
      </c>
      <c r="O25">
        <f>Transactions!M25</f>
        <v>290.22000000000003</v>
      </c>
      <c r="P25">
        <f>Transactions!M25</f>
        <v>290.22000000000003</v>
      </c>
      <c r="Q25" s="1">
        <f>Transactions!I25</f>
        <v>45960</v>
      </c>
      <c r="R25">
        <f>IF(Transactions!O25&lt;&gt;0, Transactions!O25, Transactions!P25)</f>
        <v>166.88</v>
      </c>
      <c r="S25" s="1">
        <f>Transactions!J25</f>
        <v>46054</v>
      </c>
      <c r="T25">
        <v>1</v>
      </c>
      <c r="V25" t="str">
        <f>Transactions!V25</f>
        <v>DVH SELECT $5,000 POL MAX WITH $100 DEDUCT</v>
      </c>
    </row>
    <row r="26" spans="1:22" x14ac:dyDescent="0.3">
      <c r="A26">
        <f>Transactions!B26</f>
        <v>1219814</v>
      </c>
      <c r="C26" t="str">
        <f>Transactions!F26</f>
        <v>FLEMING, ANNA</v>
      </c>
      <c r="D26" t="s">
        <v>22</v>
      </c>
      <c r="E26" t="s">
        <v>24</v>
      </c>
      <c r="F26" t="str">
        <f>Transactions!T26</f>
        <v>FL</v>
      </c>
      <c r="G26" t="str">
        <f>VLOOKUP(Transactions!V26, lookups!A:B, 2, 0)</f>
        <v>Dental with Vision</v>
      </c>
      <c r="H26" t="str">
        <f>VLOOKUP(Transactions!V26, lookups!A:C, 3, 0)</f>
        <v xml:space="preserve">Dental, Vision, Hearing &amp; Dental, Vision, Hearing Select </v>
      </c>
      <c r="I26" s="1">
        <f>Transactions!K26</f>
        <v>45778</v>
      </c>
      <c r="J26" s="1">
        <f>Transactions!K26</f>
        <v>45778</v>
      </c>
      <c r="L26" t="s">
        <v>23</v>
      </c>
      <c r="M26" t="s">
        <v>77</v>
      </c>
      <c r="N26" t="str">
        <f>Transactions!W26</f>
        <v>01VK1790000</v>
      </c>
      <c r="O26">
        <f>Transactions!M26</f>
        <v>175.2</v>
      </c>
      <c r="P26">
        <f>Transactions!M26</f>
        <v>175.2</v>
      </c>
      <c r="Q26" s="1">
        <f>Transactions!I26</f>
        <v>45958</v>
      </c>
      <c r="R26">
        <f>IF(Transactions!O26&lt;&gt;0, Transactions!O26, Transactions!P26)</f>
        <v>100.74</v>
      </c>
      <c r="S26" s="1">
        <f>Transactions!J26</f>
        <v>45962</v>
      </c>
      <c r="T26">
        <v>1</v>
      </c>
      <c r="V26" t="str">
        <f>Transactions!V26</f>
        <v>DVH SELECT $5,000 POL MAX WITH $100 DEDUCT</v>
      </c>
    </row>
    <row r="27" spans="1:22" x14ac:dyDescent="0.3">
      <c r="A27">
        <f>Transactions!B27</f>
        <v>1224087</v>
      </c>
      <c r="C27" t="str">
        <f>Transactions!F27</f>
        <v>FALCONI, DESTINY</v>
      </c>
      <c r="D27" t="s">
        <v>22</v>
      </c>
      <c r="E27" t="s">
        <v>24</v>
      </c>
      <c r="F27" t="str">
        <f>Transactions!T27</f>
        <v>GA</v>
      </c>
      <c r="G27" t="str">
        <f>VLOOKUP(Transactions!V27, lookups!A:B, 2, 0)</f>
        <v>Dental with Vision</v>
      </c>
      <c r="H27" t="str">
        <f>VLOOKUP(Transactions!V27, lookups!A:C, 3, 0)</f>
        <v xml:space="preserve">Dental, Vision, Hearing &amp; Dental, Vision, Hearing Select </v>
      </c>
      <c r="I27" s="1">
        <f>Transactions!K27</f>
        <v>45800</v>
      </c>
      <c r="J27" s="1">
        <f>Transactions!K27</f>
        <v>45800</v>
      </c>
      <c r="L27" t="s">
        <v>23</v>
      </c>
      <c r="M27" t="s">
        <v>77</v>
      </c>
      <c r="N27" t="str">
        <f>Transactions!W27</f>
        <v>01VK2120000</v>
      </c>
      <c r="O27">
        <f>Transactions!M27</f>
        <v>36.72</v>
      </c>
      <c r="P27">
        <f>Transactions!M27</f>
        <v>36.72</v>
      </c>
      <c r="Q27" s="1">
        <f>Transactions!I27</f>
        <v>45953</v>
      </c>
      <c r="R27">
        <f>IF(Transactions!O27&lt;&gt;0, Transactions!O27, Transactions!P27)</f>
        <v>21.11</v>
      </c>
      <c r="S27" s="1">
        <f>Transactions!J27</f>
        <v>45984</v>
      </c>
      <c r="T27">
        <v>1</v>
      </c>
      <c r="V27" t="str">
        <f>Transactions!V27</f>
        <v>DVH SELECT $3,000 POL MAX WITH $0 DEDUCT</v>
      </c>
    </row>
    <row r="28" spans="1:22" x14ac:dyDescent="0.3">
      <c r="A28">
        <f>Transactions!B28</f>
        <v>1224138</v>
      </c>
      <c r="C28" t="str">
        <f>Transactions!F28</f>
        <v>PORTER, CHRISTOPHER</v>
      </c>
      <c r="D28" t="s">
        <v>22</v>
      </c>
      <c r="E28" t="s">
        <v>24</v>
      </c>
      <c r="F28" t="str">
        <f>Transactions!T28</f>
        <v>FL</v>
      </c>
      <c r="G28" t="str">
        <f>VLOOKUP(Transactions!V28, lookups!A:B, 2, 0)</f>
        <v>Dental with Vision</v>
      </c>
      <c r="H28" t="str">
        <f>VLOOKUP(Transactions!V28, lookups!A:C, 3, 0)</f>
        <v xml:space="preserve">Dental, Vision, Hearing &amp; Dental, Vision, Hearing Select </v>
      </c>
      <c r="I28" s="1">
        <f>Transactions!K28</f>
        <v>45800</v>
      </c>
      <c r="J28" s="1">
        <f>Transactions!K28</f>
        <v>45800</v>
      </c>
      <c r="L28" t="s">
        <v>23</v>
      </c>
      <c r="M28" t="s">
        <v>77</v>
      </c>
      <c r="N28" t="str">
        <f>Transactions!W28</f>
        <v>01VK1880000</v>
      </c>
      <c r="O28">
        <f>Transactions!M28</f>
        <v>38.25</v>
      </c>
      <c r="P28">
        <f>Transactions!M28</f>
        <v>38.25</v>
      </c>
      <c r="Q28" s="1">
        <f>Transactions!I28</f>
        <v>45953</v>
      </c>
      <c r="R28">
        <f>IF(Transactions!O28&lt;&gt;0, Transactions!O28, Transactions!P28)</f>
        <v>21.99</v>
      </c>
      <c r="S28" s="1">
        <f>Transactions!J28</f>
        <v>45984</v>
      </c>
      <c r="T28">
        <v>1</v>
      </c>
      <c r="V28" t="str">
        <f>Transactions!V28</f>
        <v>DVH SELECT $5,000 POL MAX WITH $0 DEDUCT</v>
      </c>
    </row>
    <row r="29" spans="1:22" x14ac:dyDescent="0.3">
      <c r="A29">
        <f>Transactions!B29</f>
        <v>1224389</v>
      </c>
      <c r="C29" t="str">
        <f>Transactions!F29</f>
        <v>DUBAY, WILLIAM</v>
      </c>
      <c r="D29" t="s">
        <v>22</v>
      </c>
      <c r="E29" t="s">
        <v>24</v>
      </c>
      <c r="F29" t="str">
        <f>Transactions!T29</f>
        <v>FL</v>
      </c>
      <c r="G29" t="str">
        <f>VLOOKUP(Transactions!V29, lookups!A:B, 2, 0)</f>
        <v>Dental with Vision</v>
      </c>
      <c r="H29" t="str">
        <f>VLOOKUP(Transactions!V29, lookups!A:C, 3, 0)</f>
        <v xml:space="preserve">Dental, Vision, Hearing &amp; Dental, Vision, Hearing Select </v>
      </c>
      <c r="I29" s="1">
        <f>Transactions!K29</f>
        <v>45801</v>
      </c>
      <c r="J29" s="1">
        <f>Transactions!K29</f>
        <v>45801</v>
      </c>
      <c r="L29" t="s">
        <v>23</v>
      </c>
      <c r="M29" t="s">
        <v>77</v>
      </c>
      <c r="N29" t="str">
        <f>Transactions!W29</f>
        <v>01VK1700000</v>
      </c>
      <c r="O29">
        <f>Transactions!M29</f>
        <v>53.28</v>
      </c>
      <c r="P29">
        <f>Transactions!M29</f>
        <v>53.28</v>
      </c>
      <c r="Q29" s="1">
        <f>Transactions!I29</f>
        <v>45954</v>
      </c>
      <c r="R29">
        <f>IF(Transactions!O29&lt;&gt;0, Transactions!O29, Transactions!P29)</f>
        <v>30.64</v>
      </c>
      <c r="S29" s="1">
        <f>Transactions!J29</f>
        <v>45985</v>
      </c>
      <c r="T29">
        <v>1</v>
      </c>
      <c r="V29" t="str">
        <f>Transactions!V29</f>
        <v>DVH SELECT $5,000 POL MAX WITH $0 DEDUCT</v>
      </c>
    </row>
    <row r="30" spans="1:22" x14ac:dyDescent="0.3">
      <c r="A30">
        <f>Transactions!B30</f>
        <v>1229524</v>
      </c>
      <c r="C30" t="str">
        <f>Transactions!F30</f>
        <v>ROULHAC, STACY</v>
      </c>
      <c r="D30" t="s">
        <v>22</v>
      </c>
      <c r="E30" t="s">
        <v>24</v>
      </c>
      <c r="F30" t="str">
        <f>Transactions!T30</f>
        <v>FL</v>
      </c>
      <c r="G30" t="str">
        <f>VLOOKUP(Transactions!V30, lookups!A:B, 2, 0)</f>
        <v>Dental with Vision</v>
      </c>
      <c r="H30" t="str">
        <f>VLOOKUP(Transactions!V30, lookups!A:C, 3, 0)</f>
        <v xml:space="preserve">Dental, Vision, Hearing &amp; Dental, Vision, Hearing Select </v>
      </c>
      <c r="I30" s="1">
        <f>Transactions!K30</f>
        <v>45827</v>
      </c>
      <c r="J30" s="1">
        <f>Transactions!K30</f>
        <v>45827</v>
      </c>
      <c r="L30" t="s">
        <v>23</v>
      </c>
      <c r="M30" t="s">
        <v>77</v>
      </c>
      <c r="N30" t="str">
        <f>Transactions!W30</f>
        <v>01VK1880000</v>
      </c>
      <c r="O30">
        <f>Transactions!M30</f>
        <v>52.78</v>
      </c>
      <c r="P30">
        <f>Transactions!M30</f>
        <v>52.78</v>
      </c>
      <c r="Q30" s="1">
        <f>Transactions!I30</f>
        <v>45950</v>
      </c>
      <c r="R30">
        <f>IF(Transactions!O30&lt;&gt;0, Transactions!O30, Transactions!P30)</f>
        <v>30.35</v>
      </c>
      <c r="S30" s="1">
        <f>Transactions!J30</f>
        <v>45980</v>
      </c>
      <c r="T30">
        <v>1</v>
      </c>
      <c r="V30" t="str">
        <f>Transactions!V30</f>
        <v>DVH SELECT $5,000 POL MAX WITH $100 DEDUCT</v>
      </c>
    </row>
    <row r="31" spans="1:22" x14ac:dyDescent="0.3">
      <c r="A31">
        <f>Transactions!B31</f>
        <v>1229859</v>
      </c>
      <c r="C31" t="str">
        <f>Transactions!F31</f>
        <v>LEAKS, REMON</v>
      </c>
      <c r="D31" t="s">
        <v>22</v>
      </c>
      <c r="E31" t="s">
        <v>24</v>
      </c>
      <c r="F31" t="str">
        <f>Transactions!T31</f>
        <v>GA</v>
      </c>
      <c r="G31" t="str">
        <f>VLOOKUP(Transactions!V31, lookups!A:B, 2, 0)</f>
        <v>Dental with Vision</v>
      </c>
      <c r="H31" t="str">
        <f>VLOOKUP(Transactions!V31, lookups!A:C, 3, 0)</f>
        <v xml:space="preserve">Dental, Vision, Hearing &amp; Dental, Vision, Hearing Select </v>
      </c>
      <c r="I31" s="1">
        <f>Transactions!K31</f>
        <v>45829</v>
      </c>
      <c r="J31" s="1">
        <f>Transactions!K31</f>
        <v>45829</v>
      </c>
      <c r="L31" t="s">
        <v>23</v>
      </c>
      <c r="M31" t="s">
        <v>77</v>
      </c>
      <c r="N31" t="str">
        <f>Transactions!W31</f>
        <v>01VK1700000</v>
      </c>
      <c r="O31">
        <f>Transactions!M31</f>
        <v>60.09</v>
      </c>
      <c r="P31">
        <f>Transactions!M31</f>
        <v>60.09</v>
      </c>
      <c r="Q31" s="1">
        <f>Transactions!I31</f>
        <v>45951</v>
      </c>
      <c r="R31">
        <f>IF(Transactions!O31&lt;&gt;0, Transactions!O31, Transactions!P31)</f>
        <v>34.549999999999997</v>
      </c>
      <c r="S31" s="1">
        <f>Transactions!J31</f>
        <v>45982</v>
      </c>
      <c r="T31">
        <v>1</v>
      </c>
      <c r="V31" t="str">
        <f>Transactions!V31</f>
        <v>DVH SELECT $5,000 POL MAX WITH $0 DEDUCT</v>
      </c>
    </row>
    <row r="32" spans="1:22" x14ac:dyDescent="0.3">
      <c r="A32">
        <f>Transactions!B32</f>
        <v>1230893</v>
      </c>
      <c r="C32" t="str">
        <f>Transactions!F32</f>
        <v>LOEZA, FERNANDO</v>
      </c>
      <c r="D32" t="s">
        <v>22</v>
      </c>
      <c r="E32" t="s">
        <v>24</v>
      </c>
      <c r="F32" t="str">
        <f>Transactions!T32</f>
        <v>TX</v>
      </c>
      <c r="G32" t="str">
        <f>VLOOKUP(Transactions!V32, lookups!A:B, 2, 0)</f>
        <v>Dental with Vision</v>
      </c>
      <c r="H32" t="str">
        <f>VLOOKUP(Transactions!V32, lookups!A:C, 3, 0)</f>
        <v xml:space="preserve">Dental, Vision, Hearing &amp; Dental, Vision, Hearing Select </v>
      </c>
      <c r="I32" s="1">
        <f>Transactions!K32</f>
        <v>45834</v>
      </c>
      <c r="J32" s="1">
        <f>Transactions!K32</f>
        <v>45834</v>
      </c>
      <c r="L32" t="s">
        <v>23</v>
      </c>
      <c r="M32" t="s">
        <v>77</v>
      </c>
      <c r="N32" t="str">
        <f>Transactions!W32</f>
        <v>01VK1880000</v>
      </c>
      <c r="O32">
        <f>Transactions!M32</f>
        <v>124.28</v>
      </c>
      <c r="P32">
        <f>Transactions!M32</f>
        <v>124.28</v>
      </c>
      <c r="Q32" s="1">
        <f>Transactions!I32</f>
        <v>45954</v>
      </c>
      <c r="R32">
        <f>IF(Transactions!O32&lt;&gt;0, Transactions!O32, Transactions!P32)</f>
        <v>71.459999999999994</v>
      </c>
      <c r="S32" s="1">
        <f>Transactions!J32</f>
        <v>45987</v>
      </c>
      <c r="T32">
        <v>1</v>
      </c>
      <c r="V32" t="str">
        <f>Transactions!V32</f>
        <v>DVH SELECT $1,000 POL MAX WITH $0 DEDUCT</v>
      </c>
    </row>
    <row r="33" spans="1:22" x14ac:dyDescent="0.3">
      <c r="A33">
        <f>Transactions!B33</f>
        <v>1234703</v>
      </c>
      <c r="C33" t="str">
        <f>Transactions!F33</f>
        <v>MARTIN, BRADFORD</v>
      </c>
      <c r="D33" t="s">
        <v>22</v>
      </c>
      <c r="E33" t="s">
        <v>24</v>
      </c>
      <c r="F33" t="str">
        <f>Transactions!T33</f>
        <v>IA</v>
      </c>
      <c r="G33" t="str">
        <f>VLOOKUP(Transactions!V33, lookups!A:B, 2, 0)</f>
        <v>Dental with Vision</v>
      </c>
      <c r="H33" t="str">
        <f>VLOOKUP(Transactions!V33, lookups!A:C, 3, 0)</f>
        <v xml:space="preserve">Dental, Vision, Hearing &amp; Dental, Vision, Hearing Select </v>
      </c>
      <c r="I33" s="1">
        <f>Transactions!K33</f>
        <v>45854</v>
      </c>
      <c r="J33" s="1">
        <f>Transactions!K33</f>
        <v>45854</v>
      </c>
      <c r="L33" t="s">
        <v>23</v>
      </c>
      <c r="M33" t="s">
        <v>77</v>
      </c>
      <c r="N33" t="str">
        <f>Transactions!W33</f>
        <v>01VK2120000</v>
      </c>
      <c r="O33">
        <f>Transactions!M33</f>
        <v>61.03</v>
      </c>
      <c r="P33">
        <f>Transactions!M33</f>
        <v>61.03</v>
      </c>
      <c r="Q33" s="1">
        <f>Transactions!I33</f>
        <v>45947</v>
      </c>
      <c r="R33">
        <f>IF(Transactions!O33&lt;&gt;0, Transactions!O33, Transactions!P33)</f>
        <v>35.090000000000003</v>
      </c>
      <c r="S33" s="1">
        <f>Transactions!J33</f>
        <v>45977</v>
      </c>
      <c r="T33">
        <v>1</v>
      </c>
      <c r="V33" t="str">
        <f>Transactions!V33</f>
        <v>DVH SELECT $5,000 POL MAX WITH $0 DEDUCT</v>
      </c>
    </row>
    <row r="34" spans="1:22" x14ac:dyDescent="0.3">
      <c r="A34">
        <f>Transactions!B34</f>
        <v>1234942</v>
      </c>
      <c r="C34" t="str">
        <f>Transactions!F34</f>
        <v>ELMORE, YVETTE</v>
      </c>
      <c r="D34" t="s">
        <v>22</v>
      </c>
      <c r="E34" t="s">
        <v>24</v>
      </c>
      <c r="F34" t="str">
        <f>Transactions!T34</f>
        <v>OH</v>
      </c>
      <c r="G34" t="str">
        <f>VLOOKUP(Transactions!V34, lookups!A:B, 2, 0)</f>
        <v>Dental with Vision</v>
      </c>
      <c r="H34" t="str">
        <f>VLOOKUP(Transactions!V34, lookups!A:C, 3, 0)</f>
        <v xml:space="preserve">Dental, Vision, Hearing &amp; Dental, Vision, Hearing Select </v>
      </c>
      <c r="I34" s="1">
        <f>Transactions!K34</f>
        <v>45855</v>
      </c>
      <c r="J34" s="1">
        <f>Transactions!K34</f>
        <v>45855</v>
      </c>
      <c r="L34" t="s">
        <v>23</v>
      </c>
      <c r="M34" t="s">
        <v>77</v>
      </c>
      <c r="N34" t="str">
        <f>Transactions!W34</f>
        <v>01VK2120000</v>
      </c>
      <c r="O34">
        <f>Transactions!M34</f>
        <v>64.23</v>
      </c>
      <c r="P34">
        <f>Transactions!M34</f>
        <v>64.23</v>
      </c>
      <c r="Q34" s="1">
        <f>Transactions!I34</f>
        <v>45947</v>
      </c>
      <c r="R34">
        <f>IF(Transactions!O34&lt;&gt;0, Transactions!O34, Transactions!P34)</f>
        <v>36.93</v>
      </c>
      <c r="S34" s="1">
        <f>Transactions!J34</f>
        <v>45978</v>
      </c>
      <c r="T34">
        <v>1</v>
      </c>
      <c r="V34" t="str">
        <f>Transactions!V34</f>
        <v>DVH SELECT $5,000 POL MAX WITH $0 DEDUCT</v>
      </c>
    </row>
    <row r="35" spans="1:22" x14ac:dyDescent="0.3">
      <c r="A35">
        <f>Transactions!B35</f>
        <v>1235115</v>
      </c>
      <c r="C35" t="str">
        <f>Transactions!F35</f>
        <v>WANG, REBECCA</v>
      </c>
      <c r="D35" t="s">
        <v>22</v>
      </c>
      <c r="E35" t="s">
        <v>24</v>
      </c>
      <c r="F35" t="str">
        <f>Transactions!T35</f>
        <v>FL</v>
      </c>
      <c r="G35" t="str">
        <f>VLOOKUP(Transactions!V35, lookups!A:B, 2, 0)</f>
        <v>Dental with Vision</v>
      </c>
      <c r="H35" t="str">
        <f>VLOOKUP(Transactions!V35, lookups!A:C, 3, 0)</f>
        <v xml:space="preserve">Dental, Vision, Hearing &amp; Dental, Vision, Hearing Select </v>
      </c>
      <c r="I35" s="1">
        <f>Transactions!K35</f>
        <v>45856</v>
      </c>
      <c r="J35" s="1">
        <f>Transactions!K35</f>
        <v>45856</v>
      </c>
      <c r="L35" t="s">
        <v>23</v>
      </c>
      <c r="M35" t="s">
        <v>77</v>
      </c>
      <c r="N35" t="str">
        <f>Transactions!W35</f>
        <v>01VK2010000</v>
      </c>
      <c r="O35">
        <f>Transactions!M35</f>
        <v>61.98</v>
      </c>
      <c r="P35">
        <f>Transactions!M35</f>
        <v>61.98</v>
      </c>
      <c r="Q35" s="1">
        <f>Transactions!I35</f>
        <v>45947</v>
      </c>
      <c r="R35">
        <f>IF(Transactions!O35&lt;&gt;0, Transactions!O35, Transactions!P35)</f>
        <v>35.64</v>
      </c>
      <c r="S35" s="1">
        <f>Transactions!J35</f>
        <v>45979</v>
      </c>
      <c r="T35">
        <v>1</v>
      </c>
      <c r="V35" t="str">
        <f>Transactions!V35</f>
        <v>DVH SELECT $5,000 POL MAX WITH $0 DEDUCT</v>
      </c>
    </row>
    <row r="36" spans="1:22" x14ac:dyDescent="0.3">
      <c r="A36">
        <f>Transactions!B36</f>
        <v>1235327</v>
      </c>
      <c r="C36" t="str">
        <f>Transactions!F36</f>
        <v>TRAN, LAM</v>
      </c>
      <c r="D36" t="s">
        <v>22</v>
      </c>
      <c r="E36" t="s">
        <v>24</v>
      </c>
      <c r="F36" t="str">
        <f>Transactions!T36</f>
        <v>FL</v>
      </c>
      <c r="G36" t="str">
        <f>VLOOKUP(Transactions!V36, lookups!A:B, 2, 0)</f>
        <v>Dental with Vision</v>
      </c>
      <c r="H36" t="str">
        <f>VLOOKUP(Transactions!V36, lookups!A:C, 3, 0)</f>
        <v xml:space="preserve">Dental, Vision, Hearing &amp; Dental, Vision, Hearing Select </v>
      </c>
      <c r="I36" s="1">
        <f>Transactions!K36</f>
        <v>45856</v>
      </c>
      <c r="J36" s="1">
        <f>Transactions!K36</f>
        <v>45856</v>
      </c>
      <c r="L36" t="s">
        <v>23</v>
      </c>
      <c r="M36" t="s">
        <v>77</v>
      </c>
      <c r="N36" t="str">
        <f>Transactions!W36</f>
        <v>01VK4020000</v>
      </c>
      <c r="O36">
        <f>Transactions!M36</f>
        <v>157.4</v>
      </c>
      <c r="P36">
        <f>Transactions!M36</f>
        <v>157.4</v>
      </c>
      <c r="Q36" s="1">
        <f>Transactions!I36</f>
        <v>45950</v>
      </c>
      <c r="R36">
        <f>IF(Transactions!O36&lt;&gt;0, Transactions!O36, Transactions!P36)</f>
        <v>90.51</v>
      </c>
      <c r="S36" s="1">
        <f>Transactions!J36</f>
        <v>45979</v>
      </c>
      <c r="T36">
        <v>1</v>
      </c>
      <c r="V36" t="str">
        <f>Transactions!V36</f>
        <v>DVH SELECT $5,000 POL MAX WITH $0 DEDUCT</v>
      </c>
    </row>
    <row r="37" spans="1:22" x14ac:dyDescent="0.3">
      <c r="A37">
        <f>Transactions!B37</f>
        <v>1239460</v>
      </c>
      <c r="C37" t="str">
        <f>Transactions!F37</f>
        <v>CULP, BLAKE</v>
      </c>
      <c r="D37" t="s">
        <v>22</v>
      </c>
      <c r="E37" t="s">
        <v>24</v>
      </c>
      <c r="F37" t="str">
        <f>Transactions!T37</f>
        <v>IL</v>
      </c>
      <c r="G37" t="str">
        <f>VLOOKUP(Transactions!V37, lookups!A:B, 2, 0)</f>
        <v>Dental with Vision</v>
      </c>
      <c r="H37" t="str">
        <f>VLOOKUP(Transactions!V37, lookups!A:C, 3, 0)</f>
        <v xml:space="preserve">Dental, Vision, Hearing &amp; Dental, Vision, Hearing Select </v>
      </c>
      <c r="I37" s="1">
        <f>Transactions!K37</f>
        <v>45901</v>
      </c>
      <c r="J37" s="1">
        <f>Transactions!K37</f>
        <v>45901</v>
      </c>
      <c r="L37" t="s">
        <v>23</v>
      </c>
      <c r="M37" t="s">
        <v>77</v>
      </c>
      <c r="N37" t="str">
        <f>Transactions!W37</f>
        <v>01VK2010000</v>
      </c>
      <c r="O37">
        <f>Transactions!M37</f>
        <v>38.909999999999997</v>
      </c>
      <c r="P37">
        <f>Transactions!M37</f>
        <v>38.909999999999997</v>
      </c>
      <c r="Q37" s="1">
        <f>Transactions!I37</f>
        <v>45958</v>
      </c>
      <c r="R37">
        <f>IF(Transactions!O37&lt;&gt;0, Transactions!O37, Transactions!P37)</f>
        <v>22.37</v>
      </c>
      <c r="S37" s="1">
        <f>Transactions!J37</f>
        <v>45962</v>
      </c>
      <c r="T37">
        <v>1</v>
      </c>
      <c r="V37" t="str">
        <f>Transactions!V37</f>
        <v>DVH SELECT $3,000 POL MAX WITH $100 DEDUCT</v>
      </c>
    </row>
    <row r="38" spans="1:22" x14ac:dyDescent="0.3">
      <c r="A38">
        <f>Transactions!B38</f>
        <v>1239813</v>
      </c>
      <c r="C38" t="str">
        <f>Transactions!F38</f>
        <v>SALLEE, GARY</v>
      </c>
      <c r="D38" t="s">
        <v>22</v>
      </c>
      <c r="E38" t="s">
        <v>24</v>
      </c>
      <c r="F38" t="str">
        <f>Transactions!T38</f>
        <v>FL</v>
      </c>
      <c r="G38" t="str">
        <f>VLOOKUP(Transactions!V38, lookups!A:B, 2, 0)</f>
        <v>Dental with Vision</v>
      </c>
      <c r="H38" t="str">
        <f>VLOOKUP(Transactions!V38, lookups!A:C, 3, 0)</f>
        <v xml:space="preserve">Dental, Vision, Hearing &amp; Dental, Vision, Hearing Select </v>
      </c>
      <c r="I38" s="1">
        <f>Transactions!K38</f>
        <v>45878</v>
      </c>
      <c r="J38" s="1">
        <f>Transactions!K38</f>
        <v>45878</v>
      </c>
      <c r="L38" t="s">
        <v>23</v>
      </c>
      <c r="M38" t="s">
        <v>77</v>
      </c>
      <c r="N38" t="str">
        <f>Transactions!W38</f>
        <v>01VK1700000</v>
      </c>
      <c r="O38">
        <f>Transactions!M38</f>
        <v>-61.98</v>
      </c>
      <c r="P38">
        <f>Transactions!M38</f>
        <v>-61.98</v>
      </c>
      <c r="Q38" s="1">
        <f>Transactions!I38</f>
        <v>45954</v>
      </c>
      <c r="R38">
        <f>IF(Transactions!O38&lt;&gt;0, Transactions!O38, Transactions!P38)</f>
        <v>-35.64</v>
      </c>
      <c r="S38" s="1">
        <f>Transactions!J38</f>
        <v>45939</v>
      </c>
      <c r="T38">
        <v>1</v>
      </c>
      <c r="V38" t="str">
        <f>Transactions!V38</f>
        <v>DVH SELECT $5,000 POL MAX WITH $0 DEDUCT</v>
      </c>
    </row>
    <row r="39" spans="1:22" x14ac:dyDescent="0.3">
      <c r="A39">
        <f>Transactions!B39</f>
        <v>1241244</v>
      </c>
      <c r="C39" t="str">
        <f>Transactions!F39</f>
        <v>SHEA, MELANIE</v>
      </c>
      <c r="D39" t="s">
        <v>22</v>
      </c>
      <c r="E39" t="s">
        <v>24</v>
      </c>
      <c r="F39" t="str">
        <f>Transactions!T39</f>
        <v>FL</v>
      </c>
      <c r="G39" t="str">
        <f>VLOOKUP(Transactions!V39, lookups!A:B, 2, 0)</f>
        <v>Dental with Vision</v>
      </c>
      <c r="H39" t="str">
        <f>VLOOKUP(Transactions!V39, lookups!A:C, 3, 0)</f>
        <v xml:space="preserve">Dental, Vision, Hearing &amp; Dental, Vision, Hearing Select </v>
      </c>
      <c r="I39" s="1">
        <f>Transactions!K39</f>
        <v>45884</v>
      </c>
      <c r="J39" s="1">
        <f>Transactions!K39</f>
        <v>45884</v>
      </c>
      <c r="L39" t="s">
        <v>23</v>
      </c>
      <c r="M39" t="s">
        <v>77</v>
      </c>
      <c r="N39" t="str">
        <f>Transactions!W39</f>
        <v>01VK4020000</v>
      </c>
      <c r="O39">
        <f>Transactions!M39</f>
        <v>33.06</v>
      </c>
      <c r="P39">
        <f>Transactions!M39</f>
        <v>33.06</v>
      </c>
      <c r="Q39" s="1">
        <f>Transactions!I39</f>
        <v>45951</v>
      </c>
      <c r="R39">
        <f>IF(Transactions!O39&lt;&gt;0, Transactions!O39, Transactions!P39)</f>
        <v>19.010000000000002</v>
      </c>
      <c r="S39" s="1">
        <f>Transactions!J39</f>
        <v>45976</v>
      </c>
      <c r="T39">
        <v>1</v>
      </c>
      <c r="V39" t="str">
        <f>Transactions!V39</f>
        <v>DVH SELECT $1,000 POL MAX WITH $0 DEDUCT</v>
      </c>
    </row>
    <row r="40" spans="1:22" x14ac:dyDescent="0.3">
      <c r="A40">
        <f>Transactions!B40</f>
        <v>1242462</v>
      </c>
      <c r="C40" t="str">
        <f>Transactions!F40</f>
        <v>GALASSO, ALAINA</v>
      </c>
      <c r="D40" t="s">
        <v>22</v>
      </c>
      <c r="E40" t="s">
        <v>24</v>
      </c>
      <c r="F40" t="str">
        <f>Transactions!T40</f>
        <v>TX</v>
      </c>
      <c r="G40" t="str">
        <f>VLOOKUP(Transactions!V40, lookups!A:B, 2, 0)</f>
        <v>Dental with Vision</v>
      </c>
      <c r="H40" t="str">
        <f>VLOOKUP(Transactions!V40, lookups!A:C, 3, 0)</f>
        <v xml:space="preserve">Dental, Vision, Hearing &amp; Dental, Vision, Hearing Select </v>
      </c>
      <c r="I40" s="1">
        <f>Transactions!K40</f>
        <v>45890</v>
      </c>
      <c r="J40" s="1">
        <f>Transactions!K40</f>
        <v>45890</v>
      </c>
      <c r="L40" t="s">
        <v>23</v>
      </c>
      <c r="M40" t="s">
        <v>77</v>
      </c>
      <c r="N40" t="str">
        <f>Transactions!W40</f>
        <v>01VK4020000</v>
      </c>
      <c r="O40">
        <f>Transactions!M40</f>
        <v>44.82</v>
      </c>
      <c r="P40">
        <f>Transactions!M40</f>
        <v>44.82</v>
      </c>
      <c r="Q40" s="1">
        <f>Transactions!I40</f>
        <v>45951</v>
      </c>
      <c r="R40">
        <f>IF(Transactions!O40&lt;&gt;0, Transactions!O40, Transactions!P40)</f>
        <v>25.77</v>
      </c>
      <c r="S40" s="1">
        <f>Transactions!J40</f>
        <v>45982</v>
      </c>
      <c r="T40">
        <v>1</v>
      </c>
      <c r="V40" t="str">
        <f>Transactions!V40</f>
        <v>DVH SELECT $3,000 POL MAX WITH $0 DEDUCT</v>
      </c>
    </row>
    <row r="41" spans="1:22" x14ac:dyDescent="0.3">
      <c r="A41">
        <f>Transactions!B41</f>
        <v>1242936</v>
      </c>
      <c r="C41" t="str">
        <f>Transactions!F41</f>
        <v>WADDELL, KORTNIE</v>
      </c>
      <c r="D41" t="s">
        <v>22</v>
      </c>
      <c r="E41" t="s">
        <v>24</v>
      </c>
      <c r="F41" t="str">
        <f>Transactions!T41</f>
        <v>AL</v>
      </c>
      <c r="G41" t="str">
        <f>VLOOKUP(Transactions!V41, lookups!A:B, 2, 0)</f>
        <v>Dental with Vision</v>
      </c>
      <c r="H41" t="str">
        <f>VLOOKUP(Transactions!V41, lookups!A:C, 3, 0)</f>
        <v xml:space="preserve">Dental, Vision, Hearing &amp; Dental, Vision, Hearing Select </v>
      </c>
      <c r="I41" s="1">
        <f>Transactions!K41</f>
        <v>45892</v>
      </c>
      <c r="J41" s="1">
        <f>Transactions!K41</f>
        <v>45892</v>
      </c>
      <c r="L41" t="s">
        <v>23</v>
      </c>
      <c r="M41" t="s">
        <v>77</v>
      </c>
      <c r="N41" t="str">
        <f>Transactions!W41</f>
        <v>01VK4020000</v>
      </c>
      <c r="O41">
        <f>Transactions!M41</f>
        <v>34.299999999999997</v>
      </c>
      <c r="P41">
        <f>Transactions!M41</f>
        <v>34.299999999999997</v>
      </c>
      <c r="Q41" s="1">
        <f>Transactions!I41</f>
        <v>45953</v>
      </c>
      <c r="R41">
        <f>IF(Transactions!O41&lt;&gt;0, Transactions!O41, Transactions!P41)</f>
        <v>19.72</v>
      </c>
      <c r="S41" s="1">
        <f>Transactions!J41</f>
        <v>45984</v>
      </c>
      <c r="T41">
        <v>1</v>
      </c>
      <c r="V41" t="str">
        <f>Transactions!V41</f>
        <v>DVH SELECT $1,000 POL MAX WITH $0 DEDUCT</v>
      </c>
    </row>
    <row r="42" spans="1:22" x14ac:dyDescent="0.3">
      <c r="A42">
        <f>Transactions!B42</f>
        <v>1244290</v>
      </c>
      <c r="C42" t="str">
        <f>Transactions!F42</f>
        <v>LAMINACK, ROBERT</v>
      </c>
      <c r="D42" t="s">
        <v>22</v>
      </c>
      <c r="E42" t="s">
        <v>24</v>
      </c>
      <c r="F42" t="str">
        <f>Transactions!T42</f>
        <v>AL</v>
      </c>
      <c r="G42" t="str">
        <f>VLOOKUP(Transactions!V42, lookups!A:B, 2, 0)</f>
        <v>Dental with Vision</v>
      </c>
      <c r="H42" t="str">
        <f>VLOOKUP(Transactions!V42, lookups!A:C, 3, 0)</f>
        <v xml:space="preserve">Dental, Vision, Hearing &amp; Dental, Vision, Hearing Select </v>
      </c>
      <c r="I42" s="1">
        <f>Transactions!K42</f>
        <v>45901</v>
      </c>
      <c r="J42" s="1">
        <f>Transactions!K42</f>
        <v>45901</v>
      </c>
      <c r="L42" t="s">
        <v>23</v>
      </c>
      <c r="M42" t="s">
        <v>77</v>
      </c>
      <c r="N42" t="str">
        <f>Transactions!W42</f>
        <v>01VK4020000</v>
      </c>
      <c r="O42">
        <f>Transactions!M42</f>
        <v>55.53</v>
      </c>
      <c r="P42">
        <f>Transactions!M42</f>
        <v>55.53</v>
      </c>
      <c r="Q42" s="1">
        <f>Transactions!I42</f>
        <v>45958</v>
      </c>
      <c r="R42">
        <f>IF(Transactions!O42&lt;&gt;0, Transactions!O42, Transactions!P42)</f>
        <v>31.93</v>
      </c>
      <c r="S42" s="1">
        <f>Transactions!J42</f>
        <v>45962</v>
      </c>
      <c r="T42">
        <v>1</v>
      </c>
      <c r="V42" t="str">
        <f>Transactions!V42</f>
        <v>DVH SELECT $5,000 POL MAX WITH $0 DEDUCT</v>
      </c>
    </row>
    <row r="43" spans="1:22" x14ac:dyDescent="0.3">
      <c r="A43">
        <f>Transactions!B43</f>
        <v>1247963</v>
      </c>
      <c r="C43" t="str">
        <f>Transactions!F43</f>
        <v>MONROE, SHERRIL</v>
      </c>
      <c r="D43" t="s">
        <v>22</v>
      </c>
      <c r="E43" t="s">
        <v>24</v>
      </c>
      <c r="F43" t="str">
        <f>Transactions!T43</f>
        <v>TX</v>
      </c>
      <c r="G43" t="str">
        <f>VLOOKUP(Transactions!V43, lookups!A:B, 2, 0)</f>
        <v>Dental with Vision</v>
      </c>
      <c r="H43" t="str">
        <f>VLOOKUP(Transactions!V43, lookups!A:C, 3, 0)</f>
        <v xml:space="preserve">Dental, Vision, Hearing &amp; Dental, Vision, Hearing Select </v>
      </c>
      <c r="I43" s="1">
        <f>Transactions!K43</f>
        <v>45931</v>
      </c>
      <c r="J43" s="1">
        <f>Transactions!K43</f>
        <v>45931</v>
      </c>
      <c r="L43" t="s">
        <v>23</v>
      </c>
      <c r="M43" t="s">
        <v>77</v>
      </c>
      <c r="N43" t="str">
        <f>Transactions!W43</f>
        <v>01VK5230000</v>
      </c>
      <c r="O43">
        <f>Transactions!M43</f>
        <v>-71.17</v>
      </c>
      <c r="P43">
        <f>Transactions!M43</f>
        <v>-71.17</v>
      </c>
      <c r="Q43" s="1">
        <f>Transactions!I43</f>
        <v>45951</v>
      </c>
      <c r="R43">
        <f>IF(Transactions!O43&lt;&gt;0, Transactions!O43, Transactions!P43)</f>
        <v>-40.92</v>
      </c>
      <c r="S43" s="1">
        <f>Transactions!J43</f>
        <v>45962</v>
      </c>
      <c r="T43">
        <v>1</v>
      </c>
      <c r="V43" t="str">
        <f>Transactions!V43</f>
        <v>DVH SELECT $5,000 POL MAX WITH $0 DEDUCT</v>
      </c>
    </row>
    <row r="44" spans="1:22" x14ac:dyDescent="0.3">
      <c r="A44">
        <f>Transactions!B44</f>
        <v>1248586</v>
      </c>
      <c r="C44" t="str">
        <f>Transactions!F44</f>
        <v>PAUL, LAQUINTA</v>
      </c>
      <c r="D44" t="s">
        <v>22</v>
      </c>
      <c r="E44" t="s">
        <v>24</v>
      </c>
      <c r="F44" t="str">
        <f>Transactions!T44</f>
        <v>TX</v>
      </c>
      <c r="G44" t="str">
        <f>VLOOKUP(Transactions!V44, lookups!A:B, 2, 0)</f>
        <v>Dental with Vision</v>
      </c>
      <c r="H44" t="str">
        <f>VLOOKUP(Transactions!V44, lookups!A:C, 3, 0)</f>
        <v xml:space="preserve">Dental, Vision, Hearing &amp; Dental, Vision, Hearing Select </v>
      </c>
      <c r="I44" s="1">
        <f>Transactions!K44</f>
        <v>45921</v>
      </c>
      <c r="J44" s="1">
        <f>Transactions!K44</f>
        <v>45921</v>
      </c>
      <c r="L44" t="s">
        <v>23</v>
      </c>
      <c r="M44" t="s">
        <v>77</v>
      </c>
      <c r="N44" t="str">
        <f>Transactions!W44</f>
        <v>01VK1860000</v>
      </c>
      <c r="O44">
        <f>Transactions!M44</f>
        <v>57.98</v>
      </c>
      <c r="P44">
        <f>Transactions!M44</f>
        <v>57.98</v>
      </c>
      <c r="Q44" s="1">
        <f>Transactions!I44</f>
        <v>45950</v>
      </c>
      <c r="R44">
        <f>IF(Transactions!O44&lt;&gt;0, Transactions!O44, Transactions!P44)</f>
        <v>33.340000000000003</v>
      </c>
      <c r="S44" s="1">
        <f>Transactions!J44</f>
        <v>45982</v>
      </c>
      <c r="T44">
        <v>1</v>
      </c>
      <c r="V44" t="str">
        <f>Transactions!V44</f>
        <v>DVH SELECT $5,000 POL MAX WITH $0 DEDUCT</v>
      </c>
    </row>
    <row r="45" spans="1:22" x14ac:dyDescent="0.3">
      <c r="A45">
        <f>Transactions!B45</f>
        <v>1248586</v>
      </c>
      <c r="C45" t="str">
        <f>Transactions!F45</f>
        <v>PAUL, LAQUINTA</v>
      </c>
      <c r="D45" t="s">
        <v>22</v>
      </c>
      <c r="E45" t="s">
        <v>24</v>
      </c>
      <c r="F45" t="str">
        <f>Transactions!T45</f>
        <v>TX</v>
      </c>
      <c r="G45" t="str">
        <f>VLOOKUP(Transactions!V45, lookups!A:B, 2, 0)</f>
        <v>Dental with Vision</v>
      </c>
      <c r="H45" t="str">
        <f>VLOOKUP(Transactions!V45, lookups!A:C, 3, 0)</f>
        <v xml:space="preserve">Dental, Vision, Hearing &amp; Dental, Vision, Hearing Select </v>
      </c>
      <c r="I45" s="1">
        <f>Transactions!K45</f>
        <v>45921</v>
      </c>
      <c r="J45" s="1">
        <f>Transactions!K45</f>
        <v>45921</v>
      </c>
      <c r="L45" t="s">
        <v>23</v>
      </c>
      <c r="M45" t="s">
        <v>77</v>
      </c>
      <c r="N45" t="str">
        <f>Transactions!W45</f>
        <v>01VK1860000</v>
      </c>
      <c r="O45">
        <f>Transactions!M45</f>
        <v>-57.98</v>
      </c>
      <c r="P45">
        <f>Transactions!M45</f>
        <v>-57.98</v>
      </c>
      <c r="Q45" s="1">
        <f>Transactions!I45</f>
        <v>45957</v>
      </c>
      <c r="R45">
        <f>IF(Transactions!O45&lt;&gt;0, Transactions!O45, Transactions!P45)</f>
        <v>-33.340000000000003</v>
      </c>
      <c r="S45" s="1">
        <f>Transactions!J45</f>
        <v>45982</v>
      </c>
      <c r="T45">
        <v>1</v>
      </c>
      <c r="V45" t="str">
        <f>Transactions!V45</f>
        <v>DVH SELECT $5,000 POL MAX WITH $0 DEDUCT</v>
      </c>
    </row>
    <row r="46" spans="1:22" x14ac:dyDescent="0.3">
      <c r="A46">
        <f>Transactions!B46</f>
        <v>1248924</v>
      </c>
      <c r="C46" t="str">
        <f>Transactions!F46</f>
        <v>ALLEN, TAZSAYA</v>
      </c>
      <c r="D46" t="s">
        <v>22</v>
      </c>
      <c r="E46" t="s">
        <v>24</v>
      </c>
      <c r="F46" t="str">
        <f>Transactions!T46</f>
        <v>AL</v>
      </c>
      <c r="G46" t="str">
        <f>VLOOKUP(Transactions!V46, lookups!A:B, 2, 0)</f>
        <v>Dental with Vision</v>
      </c>
      <c r="H46" t="str">
        <f>VLOOKUP(Transactions!V46, lookups!A:C, 3, 0)</f>
        <v xml:space="preserve">Dental, Vision, Hearing &amp; Dental, Vision, Hearing Select </v>
      </c>
      <c r="I46" s="1">
        <f>Transactions!K46</f>
        <v>45920</v>
      </c>
      <c r="J46" s="1">
        <f>Transactions!K46</f>
        <v>45920</v>
      </c>
      <c r="L46" t="s">
        <v>23</v>
      </c>
      <c r="M46" t="s">
        <v>77</v>
      </c>
      <c r="N46" t="str">
        <f>Transactions!W46</f>
        <v>01VK4020000</v>
      </c>
      <c r="O46">
        <f>Transactions!M46</f>
        <v>34.299999999999997</v>
      </c>
      <c r="P46">
        <f>Transactions!M46</f>
        <v>34.299999999999997</v>
      </c>
      <c r="Q46" s="1">
        <f>Transactions!I46</f>
        <v>45950</v>
      </c>
      <c r="R46">
        <f>IF(Transactions!O46&lt;&gt;0, Transactions!O46, Transactions!P46)</f>
        <v>19.72</v>
      </c>
      <c r="S46" s="1">
        <f>Transactions!J46</f>
        <v>45981</v>
      </c>
      <c r="T46">
        <v>1</v>
      </c>
      <c r="V46" t="str">
        <f>Transactions!V46</f>
        <v>DVH SELECT $1,000 POL MAX WITH $0 DEDUCT</v>
      </c>
    </row>
    <row r="47" spans="1:22" x14ac:dyDescent="0.3">
      <c r="A47">
        <f>Transactions!B47</f>
        <v>1248988</v>
      </c>
      <c r="C47" t="str">
        <f>Transactions!F47</f>
        <v>SCHONHOLZ, LESLIE</v>
      </c>
      <c r="D47" t="s">
        <v>22</v>
      </c>
      <c r="E47" t="s">
        <v>24</v>
      </c>
      <c r="F47" t="str">
        <f>Transactions!T47</f>
        <v>FL</v>
      </c>
      <c r="G47" t="str">
        <f>VLOOKUP(Transactions!V47, lookups!A:B, 2, 0)</f>
        <v>Dental with Vision</v>
      </c>
      <c r="H47" t="str">
        <f>VLOOKUP(Transactions!V47, lookups!A:C, 3, 0)</f>
        <v xml:space="preserve">Dental, Vision, Hearing &amp; Dental, Vision, Hearing Select </v>
      </c>
      <c r="I47" s="1">
        <f>Transactions!K47</f>
        <v>45920</v>
      </c>
      <c r="J47" s="1">
        <f>Transactions!K47</f>
        <v>45920</v>
      </c>
      <c r="L47" t="s">
        <v>23</v>
      </c>
      <c r="M47" t="s">
        <v>77</v>
      </c>
      <c r="N47" t="str">
        <f>Transactions!W47</f>
        <v>01VK1890000</v>
      </c>
      <c r="O47">
        <f>Transactions!M47</f>
        <v>40.619999999999997</v>
      </c>
      <c r="P47">
        <f>Transactions!M47</f>
        <v>40.619999999999997</v>
      </c>
      <c r="Q47" s="1">
        <f>Transactions!I47</f>
        <v>45950</v>
      </c>
      <c r="R47">
        <f>IF(Transactions!O47&lt;&gt;0, Transactions!O47, Transactions!P47)</f>
        <v>23.36</v>
      </c>
      <c r="S47" s="1">
        <f>Transactions!J47</f>
        <v>45981</v>
      </c>
      <c r="T47">
        <v>1</v>
      </c>
      <c r="V47" t="str">
        <f>Transactions!V47</f>
        <v>DVH SELECT $3,000 POL MAX WITH $100 DEDUCT</v>
      </c>
    </row>
    <row r="48" spans="1:22" x14ac:dyDescent="0.3">
      <c r="A48">
        <f>Transactions!B48</f>
        <v>1249193</v>
      </c>
      <c r="C48" t="str">
        <f>Transactions!F48</f>
        <v>ATES, ELESA</v>
      </c>
      <c r="D48" t="s">
        <v>22</v>
      </c>
      <c r="E48" t="s">
        <v>24</v>
      </c>
      <c r="F48" t="str">
        <f>Transactions!T48</f>
        <v>GA</v>
      </c>
      <c r="G48" t="str">
        <f>VLOOKUP(Transactions!V48, lookups!A:B, 2, 0)</f>
        <v>Dental with Vision</v>
      </c>
      <c r="H48" t="str">
        <f>VLOOKUP(Transactions!V48, lookups!A:C, 3, 0)</f>
        <v xml:space="preserve">Dental, Vision, Hearing &amp; Dental, Vision, Hearing Select </v>
      </c>
      <c r="I48" s="1">
        <f>Transactions!K48</f>
        <v>45931</v>
      </c>
      <c r="J48" s="1">
        <f>Transactions!K48</f>
        <v>45931</v>
      </c>
      <c r="L48" t="s">
        <v>23</v>
      </c>
      <c r="M48" t="s">
        <v>77</v>
      </c>
      <c r="N48" t="str">
        <f>Transactions!W48</f>
        <v>01VK5230000</v>
      </c>
      <c r="O48">
        <f>Transactions!M48</f>
        <v>-40.17</v>
      </c>
      <c r="P48">
        <f>Transactions!M48</f>
        <v>-40.17</v>
      </c>
      <c r="Q48" s="1">
        <f>Transactions!I48</f>
        <v>45951</v>
      </c>
      <c r="R48">
        <f>IF(Transactions!O48&lt;&gt;0, Transactions!O48, Transactions!P48)</f>
        <v>-23.1</v>
      </c>
      <c r="S48" s="1">
        <f>Transactions!J48</f>
        <v>45962</v>
      </c>
      <c r="T48">
        <v>1</v>
      </c>
      <c r="V48" t="str">
        <f>Transactions!V48</f>
        <v>DVH SELECT $5,000 POL MAX WITH $0 DEDUCT</v>
      </c>
    </row>
    <row r="49" spans="1:22" x14ac:dyDescent="0.3">
      <c r="A49">
        <f>Transactions!B49</f>
        <v>1249377</v>
      </c>
      <c r="C49" t="str">
        <f>Transactions!F49</f>
        <v>KELLEY, TYHESHA</v>
      </c>
      <c r="D49" t="s">
        <v>22</v>
      </c>
      <c r="E49" t="s">
        <v>24</v>
      </c>
      <c r="F49" t="str">
        <f>Transactions!T49</f>
        <v>NC</v>
      </c>
      <c r="G49" t="str">
        <f>VLOOKUP(Transactions!V49, lookups!A:B, 2, 0)</f>
        <v>Dental with Vision</v>
      </c>
      <c r="H49" t="str">
        <f>VLOOKUP(Transactions!V49, lookups!A:C, 3, 0)</f>
        <v xml:space="preserve">Dental, Vision, Hearing &amp; Dental, Vision, Hearing Select </v>
      </c>
      <c r="I49" s="1">
        <f>Transactions!K49</f>
        <v>45923</v>
      </c>
      <c r="J49" s="1">
        <f>Transactions!K49</f>
        <v>45923</v>
      </c>
      <c r="L49" t="s">
        <v>23</v>
      </c>
      <c r="M49" t="s">
        <v>77</v>
      </c>
      <c r="N49" t="str">
        <f>Transactions!W49</f>
        <v>01VK5540000</v>
      </c>
      <c r="O49">
        <f>Transactions!M49</f>
        <v>43.68</v>
      </c>
      <c r="P49">
        <f>Transactions!M49</f>
        <v>43.68</v>
      </c>
      <c r="Q49" s="1">
        <f>Transactions!I49</f>
        <v>45953</v>
      </c>
      <c r="R49">
        <f>IF(Transactions!O49&lt;&gt;0, Transactions!O49, Transactions!P49)</f>
        <v>25.12</v>
      </c>
      <c r="S49" s="1">
        <f>Transactions!J49</f>
        <v>45984</v>
      </c>
      <c r="T49">
        <v>1</v>
      </c>
      <c r="V49" t="str">
        <f>Transactions!V49</f>
        <v>DVH SELECT $5,000 POL MAX WITH $0 DEDUCT</v>
      </c>
    </row>
    <row r="50" spans="1:22" x14ac:dyDescent="0.3">
      <c r="A50">
        <f>Transactions!B50</f>
        <v>1249869</v>
      </c>
      <c r="C50" t="str">
        <f>Transactions!F50</f>
        <v>BROOKS, KEONTAE</v>
      </c>
      <c r="D50" t="s">
        <v>22</v>
      </c>
      <c r="E50" t="s">
        <v>24</v>
      </c>
      <c r="F50" t="str">
        <f>Transactions!T50</f>
        <v>TX</v>
      </c>
      <c r="G50" t="str">
        <f>VLOOKUP(Transactions!V50, lookups!A:B, 2, 0)</f>
        <v>Dental with Vision</v>
      </c>
      <c r="H50" t="str">
        <f>VLOOKUP(Transactions!V50, lookups!A:C, 3, 0)</f>
        <v xml:space="preserve">Dental, Vision, Hearing &amp; Dental, Vision, Hearing Select </v>
      </c>
      <c r="I50" s="1">
        <f>Transactions!K50</f>
        <v>45925</v>
      </c>
      <c r="J50" s="1">
        <f>Transactions!K50</f>
        <v>45925</v>
      </c>
      <c r="L50" t="s">
        <v>23</v>
      </c>
      <c r="M50" t="s">
        <v>77</v>
      </c>
      <c r="N50" t="str">
        <f>Transactions!W50</f>
        <v>01VK5370000</v>
      </c>
      <c r="O50">
        <f>Transactions!M50</f>
        <v>57.98</v>
      </c>
      <c r="P50">
        <f>Transactions!M50</f>
        <v>57.98</v>
      </c>
      <c r="Q50" s="1">
        <f>Transactions!I50</f>
        <v>45954</v>
      </c>
      <c r="R50">
        <f>IF(Transactions!O50&lt;&gt;0, Transactions!O50, Transactions!P50)</f>
        <v>33.340000000000003</v>
      </c>
      <c r="S50" s="1">
        <f>Transactions!J50</f>
        <v>45986</v>
      </c>
      <c r="T50">
        <v>1</v>
      </c>
      <c r="V50" t="str">
        <f>Transactions!V50</f>
        <v>DVH SELECT $5,000 POL MAX WITH $0 DEDUCT</v>
      </c>
    </row>
    <row r="51" spans="1:22" x14ac:dyDescent="0.3">
      <c r="A51">
        <f>Transactions!B51</f>
        <v>1250326</v>
      </c>
      <c r="C51" t="str">
        <f>Transactions!F51</f>
        <v>SYKES, STONE</v>
      </c>
      <c r="D51" t="s">
        <v>22</v>
      </c>
      <c r="E51" t="s">
        <v>24</v>
      </c>
      <c r="F51" t="str">
        <f>Transactions!T51</f>
        <v>TX</v>
      </c>
      <c r="G51" t="str">
        <f>VLOOKUP(Transactions!V51, lookups!A:B, 2, 0)</f>
        <v>Dental with Vision</v>
      </c>
      <c r="H51" t="str">
        <f>VLOOKUP(Transactions!V51, lookups!A:C, 3, 0)</f>
        <v xml:space="preserve">Dental, Vision, Hearing &amp; Dental, Vision, Hearing Select </v>
      </c>
      <c r="I51" s="1">
        <f>Transactions!K51</f>
        <v>45940</v>
      </c>
      <c r="J51" s="1">
        <f>Transactions!K51</f>
        <v>45940</v>
      </c>
      <c r="L51" t="s">
        <v>23</v>
      </c>
      <c r="M51" t="s">
        <v>77</v>
      </c>
      <c r="N51" t="str">
        <f>Transactions!W51</f>
        <v>01VK5160000</v>
      </c>
      <c r="O51">
        <f>Transactions!M51</f>
        <v>-62.47</v>
      </c>
      <c r="P51">
        <f>Transactions!M51</f>
        <v>-62.47</v>
      </c>
      <c r="Q51" s="1">
        <f>Transactions!I51</f>
        <v>45947</v>
      </c>
      <c r="R51">
        <f>IF(Transactions!O51&lt;&gt;0, Transactions!O51, Transactions!P51)</f>
        <v>-35.92</v>
      </c>
      <c r="S51" s="1">
        <f>Transactions!J51</f>
        <v>45971</v>
      </c>
      <c r="T51">
        <v>1</v>
      </c>
      <c r="V51" t="str">
        <f>Transactions!V51</f>
        <v>DVH SELECT $5,000 POL MAX WITH $0 DEDUCT</v>
      </c>
    </row>
    <row r="52" spans="1:22" x14ac:dyDescent="0.3">
      <c r="A52">
        <f>Transactions!B52</f>
        <v>1250440</v>
      </c>
      <c r="C52" t="str">
        <f>Transactions!F52</f>
        <v>LOVING, CARLTON</v>
      </c>
      <c r="D52" t="s">
        <v>22</v>
      </c>
      <c r="E52" t="s">
        <v>24</v>
      </c>
      <c r="F52" t="str">
        <f>Transactions!T52</f>
        <v>TX</v>
      </c>
      <c r="G52" t="str">
        <f>VLOOKUP(Transactions!V52, lookups!A:B, 2, 0)</f>
        <v>Dental with Vision</v>
      </c>
      <c r="H52" t="str">
        <f>VLOOKUP(Transactions!V52, lookups!A:C, 3, 0)</f>
        <v xml:space="preserve">Dental, Vision, Hearing &amp; Dental, Vision, Hearing Select </v>
      </c>
      <c r="I52" s="1">
        <f>Transactions!K52</f>
        <v>45940</v>
      </c>
      <c r="J52" s="1">
        <f>Transactions!K52</f>
        <v>45940</v>
      </c>
      <c r="L52" t="s">
        <v>23</v>
      </c>
      <c r="M52" t="s">
        <v>77</v>
      </c>
      <c r="N52" t="str">
        <f>Transactions!W52</f>
        <v>01VK5160000</v>
      </c>
      <c r="O52">
        <f>Transactions!M52</f>
        <v>-56.8</v>
      </c>
      <c r="P52">
        <f>Transactions!M52</f>
        <v>-56.8</v>
      </c>
      <c r="Q52" s="1">
        <f>Transactions!I52</f>
        <v>45951</v>
      </c>
      <c r="R52">
        <f>IF(Transactions!O52&lt;&gt;0, Transactions!O52, Transactions!P52)</f>
        <v>-32.659999999999997</v>
      </c>
      <c r="S52" s="1">
        <f>Transactions!J52</f>
        <v>45971</v>
      </c>
      <c r="T52">
        <v>1</v>
      </c>
      <c r="V52" t="str">
        <f>Transactions!V52</f>
        <v>DVH SELECT $3,000 POL MAX WITH $0 DEDUCT</v>
      </c>
    </row>
    <row r="53" spans="1:22" x14ac:dyDescent="0.3">
      <c r="A53">
        <f>Transactions!B53</f>
        <v>1251926</v>
      </c>
      <c r="C53" t="str">
        <f>Transactions!F53</f>
        <v>JOHNSON, KENDRICK</v>
      </c>
      <c r="D53" t="s">
        <v>22</v>
      </c>
      <c r="E53" t="s">
        <v>24</v>
      </c>
      <c r="F53" t="str">
        <f>Transactions!T53</f>
        <v>NC</v>
      </c>
      <c r="G53" t="str">
        <f>VLOOKUP(Transactions!V53, lookups!A:B, 2, 0)</f>
        <v>Dental with Vision</v>
      </c>
      <c r="H53" t="str">
        <f>VLOOKUP(Transactions!V53, lookups!A:C, 3, 0)</f>
        <v xml:space="preserve">Dental, Vision, Hearing &amp; Dental, Vision, Hearing Select </v>
      </c>
      <c r="I53" s="1">
        <f>Transactions!K53</f>
        <v>45948</v>
      </c>
      <c r="J53" s="1">
        <f>Transactions!K53</f>
        <v>45948</v>
      </c>
      <c r="L53" t="s">
        <v>23</v>
      </c>
      <c r="M53" t="s">
        <v>77</v>
      </c>
      <c r="N53" t="str">
        <f>Transactions!W53</f>
        <v>01VK5160000</v>
      </c>
      <c r="O53">
        <f>Transactions!M53</f>
        <v>39.869999999999997</v>
      </c>
      <c r="P53">
        <f>Transactions!M53</f>
        <v>39.869999999999997</v>
      </c>
      <c r="Q53" s="1">
        <f>Transactions!I53</f>
        <v>45950</v>
      </c>
      <c r="R53">
        <f>IF(Transactions!O53&lt;&gt;0, Transactions!O53, Transactions!P53)</f>
        <v>22.93</v>
      </c>
      <c r="S53" s="1">
        <f>Transactions!J53</f>
        <v>45979</v>
      </c>
      <c r="T53">
        <v>1</v>
      </c>
      <c r="V53" t="str">
        <f>Transactions!V53</f>
        <v>DVH SELECT $5,000 POL MAX WITH $0 DEDUCT</v>
      </c>
    </row>
    <row r="54" spans="1:22" x14ac:dyDescent="0.3">
      <c r="A54">
        <f>Transactions!B54</f>
        <v>1251926</v>
      </c>
      <c r="C54" t="str">
        <f>Transactions!F54</f>
        <v>JOHNSON, KENDRICK</v>
      </c>
      <c r="D54" t="s">
        <v>22</v>
      </c>
      <c r="E54" t="s">
        <v>24</v>
      </c>
      <c r="F54" t="str">
        <f>Transactions!T54</f>
        <v>NC</v>
      </c>
      <c r="G54" t="str">
        <f>VLOOKUP(Transactions!V54, lookups!A:B, 2, 0)</f>
        <v>Dental with Vision</v>
      </c>
      <c r="H54" t="str">
        <f>VLOOKUP(Transactions!V54, lookups!A:C, 3, 0)</f>
        <v xml:space="preserve">Dental, Vision, Hearing &amp; Dental, Vision, Hearing Select </v>
      </c>
      <c r="I54" s="1">
        <f>Transactions!K54</f>
        <v>45948</v>
      </c>
      <c r="J54" s="1">
        <f>Transactions!K54</f>
        <v>45948</v>
      </c>
      <c r="L54" t="s">
        <v>23</v>
      </c>
      <c r="M54" t="s">
        <v>77</v>
      </c>
      <c r="N54" t="str">
        <f>Transactions!W54</f>
        <v>01VK5160000</v>
      </c>
      <c r="O54">
        <f>Transactions!M54</f>
        <v>-39.869999999999997</v>
      </c>
      <c r="P54">
        <f>Transactions!M54</f>
        <v>-39.869999999999997</v>
      </c>
      <c r="Q54" s="1">
        <f>Transactions!I54</f>
        <v>45953</v>
      </c>
      <c r="R54">
        <f>IF(Transactions!O54&lt;&gt;0, Transactions!O54, Transactions!P54)</f>
        <v>-22.93</v>
      </c>
      <c r="S54" s="1">
        <f>Transactions!J54</f>
        <v>45979</v>
      </c>
      <c r="T54">
        <v>1</v>
      </c>
      <c r="V54" t="str">
        <f>Transactions!V54</f>
        <v>DVH SELECT $5,000 POL MAX WITH $0 DEDUCT</v>
      </c>
    </row>
    <row r="55" spans="1:22" x14ac:dyDescent="0.3">
      <c r="A55">
        <f>Transactions!B55</f>
        <v>1252401</v>
      </c>
      <c r="C55" t="str">
        <f>Transactions!F55</f>
        <v>ROBERTS, STEVEN</v>
      </c>
      <c r="D55" t="s">
        <v>22</v>
      </c>
      <c r="E55" t="s">
        <v>24</v>
      </c>
      <c r="F55" t="str">
        <f>Transactions!T55</f>
        <v>FL</v>
      </c>
      <c r="G55" t="str">
        <f>VLOOKUP(Transactions!V55, lookups!A:B, 2, 0)</f>
        <v>Dental with Vision</v>
      </c>
      <c r="H55" t="str">
        <f>VLOOKUP(Transactions!V55, lookups!A:C, 3, 0)</f>
        <v xml:space="preserve">Dental, Vision, Hearing &amp; Dental, Vision, Hearing Select </v>
      </c>
      <c r="I55" s="1">
        <f>Transactions!K55</f>
        <v>45935</v>
      </c>
      <c r="J55" s="1">
        <f>Transactions!K55</f>
        <v>45935</v>
      </c>
      <c r="L55" t="s">
        <v>23</v>
      </c>
      <c r="M55" t="s">
        <v>77</v>
      </c>
      <c r="N55" t="str">
        <f>Transactions!W55</f>
        <v>01VK5610000</v>
      </c>
      <c r="O55">
        <f>Transactions!M55</f>
        <v>57.61</v>
      </c>
      <c r="P55">
        <f>Transactions!M55</f>
        <v>57.61</v>
      </c>
      <c r="Q55" s="1">
        <f>Transactions!I55</f>
        <v>45950</v>
      </c>
      <c r="R55">
        <f>IF(Transactions!O55&lt;&gt;0, Transactions!O55, Transactions!P55)</f>
        <v>33.130000000000003</v>
      </c>
      <c r="S55" s="1">
        <f>Transactions!J55</f>
        <v>45966</v>
      </c>
      <c r="T55">
        <v>1</v>
      </c>
      <c r="V55" t="str">
        <f>Transactions!V55</f>
        <v>DVH SELECT $5,000 POL MAX WITH $0 DEDUCT</v>
      </c>
    </row>
    <row r="56" spans="1:22" x14ac:dyDescent="0.3">
      <c r="A56">
        <f>Transactions!B56</f>
        <v>1252401</v>
      </c>
      <c r="C56" t="str">
        <f>Transactions!F56</f>
        <v>ROBERTS, STEVEN</v>
      </c>
      <c r="D56" t="s">
        <v>22</v>
      </c>
      <c r="E56" t="s">
        <v>24</v>
      </c>
      <c r="F56" t="str">
        <f>Transactions!T56</f>
        <v>FL</v>
      </c>
      <c r="G56" t="str">
        <f>VLOOKUP(Transactions!V56, lookups!A:B, 2, 0)</f>
        <v>Dental with Vision</v>
      </c>
      <c r="H56" t="str">
        <f>VLOOKUP(Transactions!V56, lookups!A:C, 3, 0)</f>
        <v xml:space="preserve">Dental, Vision, Hearing &amp; Dental, Vision, Hearing Select </v>
      </c>
      <c r="I56" s="1">
        <f>Transactions!K56</f>
        <v>45935</v>
      </c>
      <c r="J56" s="1">
        <f>Transactions!K56</f>
        <v>45935</v>
      </c>
      <c r="L56" t="s">
        <v>23</v>
      </c>
      <c r="M56" t="s">
        <v>77</v>
      </c>
      <c r="N56" t="str">
        <f>Transactions!W56</f>
        <v>01VK5610000</v>
      </c>
      <c r="O56">
        <f>Transactions!M56</f>
        <v>-57.61</v>
      </c>
      <c r="P56">
        <f>Transactions!M56</f>
        <v>-57.61</v>
      </c>
      <c r="Q56" s="1">
        <f>Transactions!I56</f>
        <v>45954</v>
      </c>
      <c r="R56">
        <f>IF(Transactions!O56&lt;&gt;0, Transactions!O56, Transactions!P56)</f>
        <v>-33.130000000000003</v>
      </c>
      <c r="S56" s="1">
        <f>Transactions!J56</f>
        <v>45966</v>
      </c>
      <c r="T56">
        <v>1</v>
      </c>
      <c r="V56" t="str">
        <f>Transactions!V56</f>
        <v>DVH SELECT $5,000 POL MAX WITH $0 DEDUCT</v>
      </c>
    </row>
    <row r="57" spans="1:22" x14ac:dyDescent="0.3">
      <c r="A57">
        <f>Transactions!B57</f>
        <v>1252611</v>
      </c>
      <c r="C57" t="str">
        <f>Transactions!F57</f>
        <v>MOSLEY, DUMOR</v>
      </c>
      <c r="D57" t="s">
        <v>22</v>
      </c>
      <c r="E57" t="s">
        <v>24</v>
      </c>
      <c r="F57" t="str">
        <f>Transactions!T57</f>
        <v>TX</v>
      </c>
      <c r="G57" t="str">
        <f>VLOOKUP(Transactions!V57, lookups!A:B, 2, 0)</f>
        <v>Dental with Vision</v>
      </c>
      <c r="H57" t="str">
        <f>VLOOKUP(Transactions!V57, lookups!A:C, 3, 0)</f>
        <v xml:space="preserve">Dental, Vision, Hearing &amp; Dental, Vision, Hearing Select </v>
      </c>
      <c r="I57" s="1">
        <f>Transactions!K57</f>
        <v>45946</v>
      </c>
      <c r="J57" s="1">
        <f>Transactions!K57</f>
        <v>45946</v>
      </c>
      <c r="L57" t="s">
        <v>23</v>
      </c>
      <c r="M57" t="s">
        <v>77</v>
      </c>
      <c r="N57" t="str">
        <f>Transactions!W57</f>
        <v>01VK5370000</v>
      </c>
      <c r="O57">
        <f>Transactions!M57</f>
        <v>44.85</v>
      </c>
      <c r="P57">
        <f>Transactions!M57</f>
        <v>44.85</v>
      </c>
      <c r="Q57" s="1">
        <f>Transactions!I57</f>
        <v>45946</v>
      </c>
      <c r="R57">
        <f>IF(Transactions!O57&lt;&gt;0, Transactions!O57, Transactions!P57)</f>
        <v>25.79</v>
      </c>
      <c r="S57" s="1">
        <f>Transactions!J57</f>
        <v>45977</v>
      </c>
      <c r="T57">
        <v>1</v>
      </c>
      <c r="V57" t="str">
        <f>Transactions!V57</f>
        <v>DVH SELECT $5,000 POL MAX WITH $0 DEDUCT</v>
      </c>
    </row>
    <row r="58" spans="1:22" x14ac:dyDescent="0.3">
      <c r="A58">
        <f>Transactions!B58</f>
        <v>1253404</v>
      </c>
      <c r="C58" t="str">
        <f>Transactions!F58</f>
        <v>FIELDS, TERRANCE</v>
      </c>
      <c r="D58" t="s">
        <v>22</v>
      </c>
      <c r="E58" t="s">
        <v>24</v>
      </c>
      <c r="F58" t="str">
        <f>Transactions!T58</f>
        <v>SC</v>
      </c>
      <c r="G58" t="str">
        <f>VLOOKUP(Transactions!V58, lookups!A:B, 2, 0)</f>
        <v>Dental with Vision</v>
      </c>
      <c r="H58" t="str">
        <f>VLOOKUP(Transactions!V58, lookups!A:C, 3, 0)</f>
        <v xml:space="preserve">Dental, Vision, Hearing &amp; Dental, Vision, Hearing Select </v>
      </c>
      <c r="I58" s="1">
        <f>Transactions!K58</f>
        <v>45940</v>
      </c>
      <c r="J58" s="1">
        <f>Transactions!K58</f>
        <v>45940</v>
      </c>
      <c r="L58" t="s">
        <v>23</v>
      </c>
      <c r="M58" t="s">
        <v>77</v>
      </c>
      <c r="N58" t="str">
        <f>Transactions!W58</f>
        <v>01VK5230000</v>
      </c>
      <c r="O58">
        <f>Transactions!M58</f>
        <v>-51.54</v>
      </c>
      <c r="P58">
        <f>Transactions!M58</f>
        <v>-51.54</v>
      </c>
      <c r="Q58" s="1">
        <f>Transactions!I58</f>
        <v>45953</v>
      </c>
      <c r="R58">
        <f>IF(Transactions!O58&lt;&gt;0, Transactions!O58, Transactions!P58)</f>
        <v>-29.64</v>
      </c>
      <c r="S58" s="1">
        <f>Transactions!J58</f>
        <v>45971</v>
      </c>
      <c r="T58">
        <v>1</v>
      </c>
      <c r="V58" t="str">
        <f>Transactions!V58</f>
        <v>DVH SELECT $5,000 POL MAX WITH $0 DEDUCT</v>
      </c>
    </row>
    <row r="59" spans="1:22" x14ac:dyDescent="0.3">
      <c r="A59">
        <f>Transactions!B59</f>
        <v>1253694</v>
      </c>
      <c r="C59" t="str">
        <f>Transactions!F59</f>
        <v>ARIZA, HEATHER</v>
      </c>
      <c r="D59" t="s">
        <v>22</v>
      </c>
      <c r="E59" t="s">
        <v>24</v>
      </c>
      <c r="F59" t="str">
        <f>Transactions!T59</f>
        <v>SC</v>
      </c>
      <c r="G59" t="str">
        <f>VLOOKUP(Transactions!V59, lookups!A:B, 2, 0)</f>
        <v>Dental with Vision</v>
      </c>
      <c r="H59" t="str">
        <f>VLOOKUP(Transactions!V59, lookups!A:C, 3, 0)</f>
        <v xml:space="preserve">Dental, Vision, Hearing &amp; Dental, Vision, Hearing Select </v>
      </c>
      <c r="I59" s="1">
        <f>Transactions!K59</f>
        <v>45947</v>
      </c>
      <c r="J59" s="1">
        <f>Transactions!K59</f>
        <v>45947</v>
      </c>
      <c r="L59" t="s">
        <v>23</v>
      </c>
      <c r="M59" t="s">
        <v>77</v>
      </c>
      <c r="N59" t="str">
        <f>Transactions!W59</f>
        <v>01VK1880000</v>
      </c>
      <c r="O59">
        <f>Transactions!M59</f>
        <v>81.09</v>
      </c>
      <c r="P59">
        <f>Transactions!M59</f>
        <v>81.09</v>
      </c>
      <c r="Q59" s="1">
        <f>Transactions!I59</f>
        <v>45947</v>
      </c>
      <c r="R59">
        <f>IF(Transactions!O59&lt;&gt;0, Transactions!O59, Transactions!P59)</f>
        <v>46.63</v>
      </c>
      <c r="S59" s="1">
        <f>Transactions!J59</f>
        <v>45978</v>
      </c>
      <c r="T59">
        <v>1</v>
      </c>
      <c r="V59" t="str">
        <f>Transactions!V59</f>
        <v>DVH SELECT $3,000 POL MAX WITH $100 DEDUCT</v>
      </c>
    </row>
    <row r="60" spans="1:22" x14ac:dyDescent="0.3">
      <c r="A60">
        <f>Transactions!B60</f>
        <v>1253830</v>
      </c>
      <c r="C60" t="str">
        <f>Transactions!F60</f>
        <v>EDWARDS, JOANNA</v>
      </c>
      <c r="D60" t="s">
        <v>22</v>
      </c>
      <c r="E60" t="s">
        <v>24</v>
      </c>
      <c r="F60" t="str">
        <f>Transactions!T60</f>
        <v>GA</v>
      </c>
      <c r="G60" t="str">
        <f>VLOOKUP(Transactions!V60, lookups!A:B, 2, 0)</f>
        <v>Dental with Vision</v>
      </c>
      <c r="H60" t="str">
        <f>VLOOKUP(Transactions!V60, lookups!A:C, 3, 0)</f>
        <v xml:space="preserve">Dental, Vision, Hearing &amp; Dental, Vision, Hearing Select </v>
      </c>
      <c r="I60" s="1">
        <f>Transactions!K60</f>
        <v>45941</v>
      </c>
      <c r="J60" s="1">
        <f>Transactions!K60</f>
        <v>45941</v>
      </c>
      <c r="L60" t="s">
        <v>23</v>
      </c>
      <c r="M60" t="s">
        <v>77</v>
      </c>
      <c r="N60" t="str">
        <f>Transactions!W60</f>
        <v>01VK4020000</v>
      </c>
      <c r="O60">
        <f>Transactions!M60</f>
        <v>-115.06</v>
      </c>
      <c r="P60">
        <f>Transactions!M60</f>
        <v>-115.06</v>
      </c>
      <c r="Q60" s="1">
        <f>Transactions!I60</f>
        <v>45954</v>
      </c>
      <c r="R60">
        <f>IF(Transactions!O60&lt;&gt;0, Transactions!O60, Transactions!P60)</f>
        <v>-66.16</v>
      </c>
      <c r="S60" s="1">
        <f>Transactions!J60</f>
        <v>45972</v>
      </c>
      <c r="T60">
        <v>1</v>
      </c>
      <c r="V60" t="str">
        <f>Transactions!V60</f>
        <v>DVH SELECT $1,500 POL MAX WITH $0 DEDUCT</v>
      </c>
    </row>
    <row r="61" spans="1:22" x14ac:dyDescent="0.3">
      <c r="A61">
        <f>Transactions!B61</f>
        <v>1254231</v>
      </c>
      <c r="C61" t="str">
        <f>Transactions!F61</f>
        <v>HOLMES, THOMAS</v>
      </c>
      <c r="D61" t="s">
        <v>22</v>
      </c>
      <c r="E61" t="s">
        <v>24</v>
      </c>
      <c r="F61" t="str">
        <f>Transactions!T61</f>
        <v>FL</v>
      </c>
      <c r="G61" t="str">
        <f>VLOOKUP(Transactions!V61, lookups!A:B, 2, 0)</f>
        <v>Dental with Vision</v>
      </c>
      <c r="H61" t="str">
        <f>VLOOKUP(Transactions!V61, lookups!A:C, 3, 0)</f>
        <v xml:space="preserve">Dental, Vision, Hearing &amp; Dental, Vision, Hearing Select </v>
      </c>
      <c r="I61" s="1">
        <f>Transactions!K61</f>
        <v>45945</v>
      </c>
      <c r="J61" s="1">
        <f>Transactions!K61</f>
        <v>45945</v>
      </c>
      <c r="L61" t="s">
        <v>23</v>
      </c>
      <c r="M61" t="s">
        <v>77</v>
      </c>
      <c r="N61" t="str">
        <f>Transactions!W61</f>
        <v>01VK1700000</v>
      </c>
      <c r="O61">
        <f>Transactions!M61</f>
        <v>152.72</v>
      </c>
      <c r="P61">
        <f>Transactions!M61</f>
        <v>152.72</v>
      </c>
      <c r="Q61" s="1">
        <f>Transactions!I61</f>
        <v>45947</v>
      </c>
      <c r="R61">
        <f>IF(Transactions!O61&lt;&gt;0, Transactions!O61, Transactions!P61)</f>
        <v>87.81</v>
      </c>
      <c r="S61" s="1">
        <f>Transactions!J61</f>
        <v>45976</v>
      </c>
      <c r="T61">
        <v>1</v>
      </c>
      <c r="V61" t="str">
        <f>Transactions!V61</f>
        <v>DVH SELECT $5,000 POL MAX WITH $100 DEDUCT</v>
      </c>
    </row>
    <row r="62" spans="1:22" x14ac:dyDescent="0.3">
      <c r="A62">
        <f>Transactions!B62</f>
        <v>1254284</v>
      </c>
      <c r="C62" t="str">
        <f>Transactions!F62</f>
        <v>ELCOCK, STEVE</v>
      </c>
      <c r="D62" t="s">
        <v>22</v>
      </c>
      <c r="E62" t="s">
        <v>24</v>
      </c>
      <c r="F62" t="str">
        <f>Transactions!T62</f>
        <v>FL</v>
      </c>
      <c r="G62" t="str">
        <f>VLOOKUP(Transactions!V62, lookups!A:B, 2, 0)</f>
        <v>Dental with Vision</v>
      </c>
      <c r="H62" t="str">
        <f>VLOOKUP(Transactions!V62, lookups!A:C, 3, 0)</f>
        <v xml:space="preserve">Dental, Vision, Hearing &amp; Dental, Vision, Hearing Select </v>
      </c>
      <c r="I62" s="1">
        <f>Transactions!K62</f>
        <v>45955</v>
      </c>
      <c r="J62" s="1">
        <f>Transactions!K62</f>
        <v>45955</v>
      </c>
      <c r="L62" t="s">
        <v>23</v>
      </c>
      <c r="M62" t="s">
        <v>77</v>
      </c>
      <c r="N62" t="str">
        <f>Transactions!W62</f>
        <v>01VK5160000</v>
      </c>
      <c r="O62">
        <f>Transactions!M62</f>
        <v>58.94</v>
      </c>
      <c r="P62">
        <f>Transactions!M62</f>
        <v>58.94</v>
      </c>
      <c r="Q62" s="1">
        <f>Transactions!I62</f>
        <v>45954</v>
      </c>
      <c r="R62">
        <f>IF(Transactions!O62&lt;&gt;0, Transactions!O62, Transactions!P62)</f>
        <v>33.89</v>
      </c>
      <c r="S62" s="1">
        <f>Transactions!J62</f>
        <v>45986</v>
      </c>
      <c r="T62">
        <v>1</v>
      </c>
      <c r="V62" t="str">
        <f>Transactions!V62</f>
        <v>DVH SELECT $5,000 POL MAX WITH $0 DEDUCT</v>
      </c>
    </row>
    <row r="63" spans="1:22" x14ac:dyDescent="0.3">
      <c r="A63">
        <f>Transactions!B63</f>
        <v>1254284</v>
      </c>
      <c r="C63" t="str">
        <f>Transactions!F63</f>
        <v>ELCOCK, STEVE</v>
      </c>
      <c r="D63" t="s">
        <v>22</v>
      </c>
      <c r="E63" t="s">
        <v>24</v>
      </c>
      <c r="F63" t="str">
        <f>Transactions!T63</f>
        <v>FL</v>
      </c>
      <c r="G63" t="str">
        <f>VLOOKUP(Transactions!V63, lookups!A:B, 2, 0)</f>
        <v>Dental with Vision</v>
      </c>
      <c r="H63" t="str">
        <f>VLOOKUP(Transactions!V63, lookups!A:C, 3, 0)</f>
        <v xml:space="preserve">Dental, Vision, Hearing &amp; Dental, Vision, Hearing Select </v>
      </c>
      <c r="I63" s="1">
        <f>Transactions!K63</f>
        <v>45955</v>
      </c>
      <c r="J63" s="1">
        <f>Transactions!K63</f>
        <v>45955</v>
      </c>
      <c r="L63" t="s">
        <v>23</v>
      </c>
      <c r="M63" t="s">
        <v>77</v>
      </c>
      <c r="N63" t="str">
        <f>Transactions!W63</f>
        <v>01VK5160000</v>
      </c>
      <c r="O63">
        <f>Transactions!M63</f>
        <v>-58.94</v>
      </c>
      <c r="P63">
        <f>Transactions!M63</f>
        <v>-58.94</v>
      </c>
      <c r="Q63" s="1">
        <f>Transactions!I63</f>
        <v>45961</v>
      </c>
      <c r="R63">
        <f>IF(Transactions!O63&lt;&gt;0, Transactions!O63, Transactions!P63)</f>
        <v>-33.89</v>
      </c>
      <c r="S63" s="1">
        <f>Transactions!J63</f>
        <v>45986</v>
      </c>
      <c r="T63">
        <v>1</v>
      </c>
      <c r="V63" t="str">
        <f>Transactions!V63</f>
        <v>DVH SELECT $5,000 POL MAX WITH $0 DEDUCT</v>
      </c>
    </row>
    <row r="64" spans="1:22" x14ac:dyDescent="0.3">
      <c r="A64">
        <f>Transactions!B64</f>
        <v>1254293</v>
      </c>
      <c r="C64" t="str">
        <f>Transactions!F64</f>
        <v>BOSTON, NAKIA</v>
      </c>
      <c r="D64" t="s">
        <v>22</v>
      </c>
      <c r="E64" t="s">
        <v>24</v>
      </c>
      <c r="F64" t="str">
        <f>Transactions!T64</f>
        <v>FL</v>
      </c>
      <c r="G64" t="str">
        <f>VLOOKUP(Transactions!V64, lookups!A:B, 2, 0)</f>
        <v>Dental with Vision</v>
      </c>
      <c r="H64" t="str">
        <f>VLOOKUP(Transactions!V64, lookups!A:C, 3, 0)</f>
        <v xml:space="preserve">Dental, Vision, Hearing &amp; Dental, Vision, Hearing Select </v>
      </c>
      <c r="I64" s="1">
        <f>Transactions!K64</f>
        <v>45955</v>
      </c>
      <c r="J64" s="1">
        <f>Transactions!K64</f>
        <v>45955</v>
      </c>
      <c r="L64" t="s">
        <v>23</v>
      </c>
      <c r="M64" t="s">
        <v>77</v>
      </c>
      <c r="N64" t="str">
        <f>Transactions!W64</f>
        <v>01VK5160000</v>
      </c>
      <c r="O64">
        <f>Transactions!M64</f>
        <v>42.73</v>
      </c>
      <c r="P64">
        <f>Transactions!M64</f>
        <v>42.73</v>
      </c>
      <c r="Q64" s="1">
        <f>Transactions!I64</f>
        <v>45954</v>
      </c>
      <c r="R64">
        <f>IF(Transactions!O64&lt;&gt;0, Transactions!O64, Transactions!P64)</f>
        <v>24.57</v>
      </c>
      <c r="S64" s="1">
        <f>Transactions!J64</f>
        <v>45986</v>
      </c>
      <c r="T64">
        <v>1</v>
      </c>
      <c r="V64" t="str">
        <f>Transactions!V64</f>
        <v>DVH SELECT $5,000 POL MAX WITH $0 DEDUCT</v>
      </c>
    </row>
    <row r="65" spans="1:22" x14ac:dyDescent="0.3">
      <c r="A65">
        <f>Transactions!B65</f>
        <v>1254293</v>
      </c>
      <c r="C65" t="str">
        <f>Transactions!F65</f>
        <v>BOSTON, NAKIA</v>
      </c>
      <c r="D65" t="s">
        <v>22</v>
      </c>
      <c r="E65" t="s">
        <v>24</v>
      </c>
      <c r="F65" t="str">
        <f>Transactions!T65</f>
        <v>FL</v>
      </c>
      <c r="G65" t="str">
        <f>VLOOKUP(Transactions!V65, lookups!A:B, 2, 0)</f>
        <v>Dental with Vision</v>
      </c>
      <c r="H65" t="str">
        <f>VLOOKUP(Transactions!V65, lookups!A:C, 3, 0)</f>
        <v xml:space="preserve">Dental, Vision, Hearing &amp; Dental, Vision, Hearing Select </v>
      </c>
      <c r="I65" s="1">
        <f>Transactions!K65</f>
        <v>45955</v>
      </c>
      <c r="J65" s="1">
        <f>Transactions!K65</f>
        <v>45955</v>
      </c>
      <c r="L65" t="s">
        <v>23</v>
      </c>
      <c r="M65" t="s">
        <v>77</v>
      </c>
      <c r="N65" t="str">
        <f>Transactions!W65</f>
        <v>01VK5160000</v>
      </c>
      <c r="O65">
        <f>Transactions!M65</f>
        <v>-42.73</v>
      </c>
      <c r="P65">
        <f>Transactions!M65</f>
        <v>-42.73</v>
      </c>
      <c r="Q65" s="1">
        <f>Transactions!I65</f>
        <v>45961</v>
      </c>
      <c r="R65">
        <f>IF(Transactions!O65&lt;&gt;0, Transactions!O65, Transactions!P65)</f>
        <v>-24.57</v>
      </c>
      <c r="S65" s="1">
        <f>Transactions!J65</f>
        <v>45986</v>
      </c>
      <c r="T65">
        <v>1</v>
      </c>
      <c r="V65" t="str">
        <f>Transactions!V65</f>
        <v>DVH SELECT $5,000 POL MAX WITH $0 DEDUCT</v>
      </c>
    </row>
    <row r="66" spans="1:22" x14ac:dyDescent="0.3">
      <c r="A66">
        <f>Transactions!B66</f>
        <v>1254442</v>
      </c>
      <c r="C66" t="str">
        <f>Transactions!F66</f>
        <v>AMES, SAVANNAH</v>
      </c>
      <c r="D66" t="s">
        <v>22</v>
      </c>
      <c r="E66" t="s">
        <v>24</v>
      </c>
      <c r="F66" t="str">
        <f>Transactions!T66</f>
        <v>NV</v>
      </c>
      <c r="G66" t="str">
        <f>VLOOKUP(Transactions!V66, lookups!A:B, 2, 0)</f>
        <v>Dental with Vision</v>
      </c>
      <c r="H66" t="str">
        <f>VLOOKUP(Transactions!V66, lookups!A:C, 3, 0)</f>
        <v xml:space="preserve">Dental, Vision, Hearing &amp; Dental, Vision, Hearing Select </v>
      </c>
      <c r="I66" s="1">
        <f>Transactions!K66</f>
        <v>45950</v>
      </c>
      <c r="J66" s="1">
        <f>Transactions!K66</f>
        <v>45950</v>
      </c>
      <c r="L66" t="s">
        <v>23</v>
      </c>
      <c r="M66" t="s">
        <v>77</v>
      </c>
      <c r="N66" t="str">
        <f>Transactions!W66</f>
        <v>01VK1980000</v>
      </c>
      <c r="O66">
        <f>Transactions!M66</f>
        <v>46.99</v>
      </c>
      <c r="P66">
        <f>Transactions!M66</f>
        <v>46.99</v>
      </c>
      <c r="Q66" s="1">
        <f>Transactions!I66</f>
        <v>45950</v>
      </c>
      <c r="R66">
        <f>IF(Transactions!O66&lt;&gt;0, Transactions!O66, Transactions!P66)</f>
        <v>27.02</v>
      </c>
      <c r="S66" s="1">
        <f>Transactions!J66</f>
        <v>45981</v>
      </c>
      <c r="T66">
        <v>1</v>
      </c>
      <c r="V66" t="str">
        <f>Transactions!V66</f>
        <v>DVH SELECT $5,000 POL MAX WITH $0 DEDUCT</v>
      </c>
    </row>
    <row r="67" spans="1:22" x14ac:dyDescent="0.3">
      <c r="A67">
        <f>Transactions!B67</f>
        <v>1254594</v>
      </c>
      <c r="C67" t="str">
        <f>Transactions!F67</f>
        <v>DILISIO, LAURA</v>
      </c>
      <c r="D67" t="s">
        <v>22</v>
      </c>
      <c r="E67" t="s">
        <v>24</v>
      </c>
      <c r="F67" t="str">
        <f>Transactions!T67</f>
        <v>FL</v>
      </c>
      <c r="G67" t="str">
        <f>VLOOKUP(Transactions!V67, lookups!A:B, 2, 0)</f>
        <v>Dental with Vision</v>
      </c>
      <c r="H67" t="str">
        <f>VLOOKUP(Transactions!V67, lookups!A:C, 3, 0)</f>
        <v xml:space="preserve">Dental, Vision, Hearing &amp; Dental, Vision, Hearing Select </v>
      </c>
      <c r="I67" s="1">
        <f>Transactions!K67</f>
        <v>45946</v>
      </c>
      <c r="J67" s="1">
        <f>Transactions!K67</f>
        <v>45946</v>
      </c>
      <c r="L67" t="s">
        <v>23</v>
      </c>
      <c r="M67" t="s">
        <v>77</v>
      </c>
      <c r="N67" t="str">
        <f>Transactions!W67</f>
        <v>01VK2120000</v>
      </c>
      <c r="O67">
        <f>Transactions!M67</f>
        <v>56.89</v>
      </c>
      <c r="P67">
        <f>Transactions!M67</f>
        <v>56.89</v>
      </c>
      <c r="Q67" s="1">
        <f>Transactions!I67</f>
        <v>45950</v>
      </c>
      <c r="R67">
        <f>IF(Transactions!O67&lt;&gt;0, Transactions!O67, Transactions!P67)</f>
        <v>32.71</v>
      </c>
      <c r="S67" s="1">
        <f>Transactions!J67</f>
        <v>45977</v>
      </c>
      <c r="T67">
        <v>1</v>
      </c>
      <c r="V67" t="str">
        <f>Transactions!V67</f>
        <v>DVH SELECT $5,000 POL MAX WITH $0 DEDUCT</v>
      </c>
    </row>
    <row r="68" spans="1:22" x14ac:dyDescent="0.3">
      <c r="A68">
        <f>Transactions!B68</f>
        <v>1254734</v>
      </c>
      <c r="C68" t="str">
        <f>Transactions!F68</f>
        <v>HOPE, ISAIAH</v>
      </c>
      <c r="D68" t="s">
        <v>22</v>
      </c>
      <c r="E68" t="s">
        <v>24</v>
      </c>
      <c r="F68" t="str">
        <f>Transactions!T68</f>
        <v>NC</v>
      </c>
      <c r="G68" t="str">
        <f>VLOOKUP(Transactions!V68, lookups!A:B, 2, 0)</f>
        <v>Dental with Vision</v>
      </c>
      <c r="H68" t="str">
        <f>VLOOKUP(Transactions!V68, lookups!A:C, 3, 0)</f>
        <v xml:space="preserve">Dental, Vision, Hearing &amp; Dental, Vision, Hearing Select </v>
      </c>
      <c r="I68" s="1">
        <f>Transactions!K68</f>
        <v>45948</v>
      </c>
      <c r="J68" s="1">
        <f>Transactions!K68</f>
        <v>45948</v>
      </c>
      <c r="L68" t="s">
        <v>23</v>
      </c>
      <c r="M68" t="s">
        <v>77</v>
      </c>
      <c r="N68" t="str">
        <f>Transactions!W68</f>
        <v>01VK5160000</v>
      </c>
      <c r="O68">
        <f>Transactions!M68</f>
        <v>114.2</v>
      </c>
      <c r="P68">
        <f>Transactions!M68</f>
        <v>114.2</v>
      </c>
      <c r="Q68" s="1">
        <f>Transactions!I68</f>
        <v>45950</v>
      </c>
      <c r="R68">
        <f>IF(Transactions!O68&lt;&gt;0, Transactions!O68, Transactions!P68)</f>
        <v>65.67</v>
      </c>
      <c r="S68" s="1">
        <f>Transactions!J68</f>
        <v>45979</v>
      </c>
      <c r="T68">
        <v>1</v>
      </c>
      <c r="V68" t="str">
        <f>Transactions!V68</f>
        <v>DVH SELECT $1,500 POL MAX WITH $0 DEDUCT</v>
      </c>
    </row>
    <row r="69" spans="1:22" x14ac:dyDescent="0.3">
      <c r="A69">
        <f>Transactions!B69</f>
        <v>1255229</v>
      </c>
      <c r="C69" t="str">
        <f>Transactions!F69</f>
        <v>GELIN, RODLIN</v>
      </c>
      <c r="D69" t="s">
        <v>22</v>
      </c>
      <c r="E69" t="s">
        <v>24</v>
      </c>
      <c r="F69" t="str">
        <f>Transactions!T69</f>
        <v>FL</v>
      </c>
      <c r="G69" t="str">
        <f>VLOOKUP(Transactions!V69, lookups!A:B, 2, 0)</f>
        <v>Dental with Vision</v>
      </c>
      <c r="H69" t="str">
        <f>VLOOKUP(Transactions!V69, lookups!A:C, 3, 0)</f>
        <v xml:space="preserve">Dental, Vision, Hearing &amp; Dental, Vision, Hearing Select </v>
      </c>
      <c r="I69" s="1">
        <f>Transactions!K69</f>
        <v>45948</v>
      </c>
      <c r="J69" s="1">
        <f>Transactions!K69</f>
        <v>45948</v>
      </c>
      <c r="L69" t="s">
        <v>23</v>
      </c>
      <c r="M69" t="s">
        <v>77</v>
      </c>
      <c r="N69" t="str">
        <f>Transactions!W69</f>
        <v>01VK2010000</v>
      </c>
      <c r="O69">
        <f>Transactions!M69</f>
        <v>34.299999999999997</v>
      </c>
      <c r="P69">
        <f>Transactions!M69</f>
        <v>34.299999999999997</v>
      </c>
      <c r="Q69" s="1">
        <f>Transactions!I69</f>
        <v>45952</v>
      </c>
      <c r="R69">
        <f>IF(Transactions!O69&lt;&gt;0, Transactions!O69, Transactions!P69)</f>
        <v>19.72</v>
      </c>
      <c r="S69" s="1">
        <f>Transactions!J69</f>
        <v>45979</v>
      </c>
      <c r="T69">
        <v>1</v>
      </c>
      <c r="V69" t="str">
        <f>Transactions!V69</f>
        <v>DVH SELECT $5,000 POL MAX WITH $100 DEDUCT</v>
      </c>
    </row>
    <row r="70" spans="1:22" x14ac:dyDescent="0.3">
      <c r="A70">
        <f>Transactions!B70</f>
        <v>1255255</v>
      </c>
      <c r="C70" t="str">
        <f>Transactions!F70</f>
        <v>SMITH-GARCIA, PATRICIA</v>
      </c>
      <c r="D70" t="s">
        <v>22</v>
      </c>
      <c r="E70" t="s">
        <v>24</v>
      </c>
      <c r="F70" t="str">
        <f>Transactions!T70</f>
        <v>NC</v>
      </c>
      <c r="G70" t="str">
        <f>VLOOKUP(Transactions!V70, lookups!A:B, 2, 0)</f>
        <v>Dental with Vision</v>
      </c>
      <c r="H70" t="str">
        <f>VLOOKUP(Transactions!V70, lookups!A:C, 3, 0)</f>
        <v xml:space="preserve">Dental, Vision, Hearing &amp; Dental, Vision, Hearing Select </v>
      </c>
      <c r="I70" s="1">
        <f>Transactions!K70</f>
        <v>45948</v>
      </c>
      <c r="J70" s="1">
        <f>Transactions!K70</f>
        <v>45948</v>
      </c>
      <c r="L70" t="s">
        <v>23</v>
      </c>
      <c r="M70" t="s">
        <v>77</v>
      </c>
      <c r="N70" t="str">
        <f>Transactions!W70</f>
        <v>01VK5230000</v>
      </c>
      <c r="O70">
        <f>Transactions!M70</f>
        <v>55.53</v>
      </c>
      <c r="P70">
        <f>Transactions!M70</f>
        <v>55.53</v>
      </c>
      <c r="Q70" s="1">
        <f>Transactions!I70</f>
        <v>45952</v>
      </c>
      <c r="R70">
        <f>IF(Transactions!O70&lt;&gt;0, Transactions!O70, Transactions!P70)</f>
        <v>31.93</v>
      </c>
      <c r="S70" s="1">
        <f>Transactions!J70</f>
        <v>45979</v>
      </c>
      <c r="T70">
        <v>1</v>
      </c>
      <c r="V70" t="str">
        <f>Transactions!V70</f>
        <v>DVH SELECT $5,000 POL MAX WITH $0 DEDUCT</v>
      </c>
    </row>
    <row r="71" spans="1:22" x14ac:dyDescent="0.3">
      <c r="A71">
        <f>Transactions!B71</f>
        <v>1255905</v>
      </c>
      <c r="C71" t="str">
        <f>Transactions!F71</f>
        <v>BEHAR-LEVY, LUISA</v>
      </c>
      <c r="D71" t="s">
        <v>22</v>
      </c>
      <c r="E71" t="s">
        <v>24</v>
      </c>
      <c r="F71" t="str">
        <f>Transactions!T71</f>
        <v>FL</v>
      </c>
      <c r="G71" t="str">
        <f>VLOOKUP(Transactions!V71, lookups!A:B, 2, 0)</f>
        <v>Dental with Vision</v>
      </c>
      <c r="H71" t="str">
        <f>VLOOKUP(Transactions!V71, lookups!A:C, 3, 0)</f>
        <v xml:space="preserve">Dental, Vision, Hearing &amp; Dental, Vision, Hearing Select </v>
      </c>
      <c r="I71" s="1">
        <f>Transactions!K71</f>
        <v>45952</v>
      </c>
      <c r="J71" s="1">
        <f>Transactions!K71</f>
        <v>45952</v>
      </c>
      <c r="L71" t="s">
        <v>23</v>
      </c>
      <c r="M71" t="s">
        <v>77</v>
      </c>
      <c r="N71" t="str">
        <f>Transactions!W71</f>
        <v>01VK2010000</v>
      </c>
      <c r="O71">
        <f>Transactions!M71</f>
        <v>103.6</v>
      </c>
      <c r="P71">
        <f>Transactions!M71</f>
        <v>103.6</v>
      </c>
      <c r="Q71" s="1">
        <f>Transactions!I71</f>
        <v>45954</v>
      </c>
      <c r="R71">
        <f>IF(Transactions!O71&lt;&gt;0, Transactions!O71, Transactions!P71)</f>
        <v>59.57</v>
      </c>
      <c r="S71" s="1">
        <f>Transactions!J71</f>
        <v>45983</v>
      </c>
      <c r="T71">
        <v>1</v>
      </c>
      <c r="V71" t="str">
        <f>Transactions!V71</f>
        <v>DVH SELECT $5,000 POL MAX WITH $100 DEDUCT</v>
      </c>
    </row>
    <row r="72" spans="1:22" x14ac:dyDescent="0.3">
      <c r="A72">
        <f>Transactions!B72</f>
        <v>1255923</v>
      </c>
      <c r="C72" t="str">
        <f>Transactions!F72</f>
        <v>BARNES, SANDRA</v>
      </c>
      <c r="D72" t="s">
        <v>22</v>
      </c>
      <c r="E72" t="s">
        <v>24</v>
      </c>
      <c r="F72" t="str">
        <f>Transactions!T72</f>
        <v>TX</v>
      </c>
      <c r="G72" t="str">
        <f>VLOOKUP(Transactions!V72, lookups!A:B, 2, 0)</f>
        <v>Dental with Vision</v>
      </c>
      <c r="H72" t="str">
        <f>VLOOKUP(Transactions!V72, lookups!A:C, 3, 0)</f>
        <v xml:space="preserve">Dental, Vision, Hearing &amp; Dental, Vision, Hearing Select </v>
      </c>
      <c r="I72" s="1">
        <f>Transactions!K72</f>
        <v>45954</v>
      </c>
      <c r="J72" s="1">
        <f>Transactions!K72</f>
        <v>45954</v>
      </c>
      <c r="L72" t="s">
        <v>23</v>
      </c>
      <c r="M72" t="s">
        <v>77</v>
      </c>
      <c r="N72" t="str">
        <f>Transactions!W72</f>
        <v>01VK5580000</v>
      </c>
      <c r="O72">
        <f>Transactions!M72</f>
        <v>51.32</v>
      </c>
      <c r="P72">
        <f>Transactions!M72</f>
        <v>51.32</v>
      </c>
      <c r="Q72" s="1">
        <f>Transactions!I72</f>
        <v>45954</v>
      </c>
      <c r="R72">
        <f>IF(Transactions!O72&lt;&gt;0, Transactions!O72, Transactions!P72)</f>
        <v>29.51</v>
      </c>
      <c r="S72" s="1">
        <f>Transactions!J72</f>
        <v>45985</v>
      </c>
      <c r="T72">
        <v>1</v>
      </c>
      <c r="V72" t="str">
        <f>Transactions!V72</f>
        <v>DVH SELECT $1,000 POL MAX WITH $100 DEDUCT</v>
      </c>
    </row>
    <row r="73" spans="1:22" x14ac:dyDescent="0.3">
      <c r="A73">
        <f>Transactions!B73</f>
        <v>1256009</v>
      </c>
      <c r="C73" t="str">
        <f>Transactions!F73</f>
        <v>HULLABY, KEVANTE</v>
      </c>
      <c r="D73" t="s">
        <v>22</v>
      </c>
      <c r="E73" t="s">
        <v>24</v>
      </c>
      <c r="F73" t="str">
        <f>Transactions!T73</f>
        <v>TX</v>
      </c>
      <c r="G73" t="str">
        <f>VLOOKUP(Transactions!V73, lookups!A:B, 2, 0)</f>
        <v>Dental with Vision</v>
      </c>
      <c r="H73" t="str">
        <f>VLOOKUP(Transactions!V73, lookups!A:C, 3, 0)</f>
        <v xml:space="preserve">Dental, Vision, Hearing &amp; Dental, Vision, Hearing Select </v>
      </c>
      <c r="I73" s="1">
        <f>Transactions!K73</f>
        <v>45952</v>
      </c>
      <c r="J73" s="1">
        <f>Transactions!K73</f>
        <v>45952</v>
      </c>
      <c r="L73" t="s">
        <v>23</v>
      </c>
      <c r="M73" t="s">
        <v>77</v>
      </c>
      <c r="N73" t="str">
        <f>Transactions!W73</f>
        <v>01VK5550000</v>
      </c>
      <c r="O73">
        <f>Transactions!M73</f>
        <v>42.24</v>
      </c>
      <c r="P73">
        <f>Transactions!M73</f>
        <v>42.24</v>
      </c>
      <c r="Q73" s="1">
        <f>Transactions!I73</f>
        <v>45954</v>
      </c>
      <c r="R73">
        <f>IF(Transactions!O73&lt;&gt;0, Transactions!O73, Transactions!P73)</f>
        <v>24.29</v>
      </c>
      <c r="S73" s="1">
        <f>Transactions!J73</f>
        <v>45983</v>
      </c>
      <c r="T73">
        <v>1</v>
      </c>
      <c r="V73" t="str">
        <f>Transactions!V73</f>
        <v>DVH SELECT $5,000 POL MAX WITH $100 DEDUCT</v>
      </c>
    </row>
    <row r="74" spans="1:22" x14ac:dyDescent="0.3">
      <c r="A74">
        <f>Transactions!B74</f>
        <v>1256009</v>
      </c>
      <c r="C74" t="str">
        <f>Transactions!F74</f>
        <v>HULLABY, KEVANTE</v>
      </c>
      <c r="D74" t="s">
        <v>22</v>
      </c>
      <c r="E74" t="s">
        <v>24</v>
      </c>
      <c r="F74" t="str">
        <f>Transactions!T74</f>
        <v>TX</v>
      </c>
      <c r="G74" t="str">
        <f>VLOOKUP(Transactions!V74, lookups!A:B, 2, 0)</f>
        <v>Dental with Vision</v>
      </c>
      <c r="H74" t="str">
        <f>VLOOKUP(Transactions!V74, lookups!A:C, 3, 0)</f>
        <v xml:space="preserve">Dental, Vision, Hearing &amp; Dental, Vision, Hearing Select </v>
      </c>
      <c r="I74" s="1">
        <f>Transactions!K74</f>
        <v>45952</v>
      </c>
      <c r="J74" s="1">
        <f>Transactions!K74</f>
        <v>45952</v>
      </c>
      <c r="L74" t="s">
        <v>23</v>
      </c>
      <c r="M74" t="s">
        <v>77</v>
      </c>
      <c r="N74" t="str">
        <f>Transactions!W74</f>
        <v>01VK5550000</v>
      </c>
      <c r="O74">
        <f>Transactions!M74</f>
        <v>-42.24</v>
      </c>
      <c r="P74">
        <f>Transactions!M74</f>
        <v>-42.24</v>
      </c>
      <c r="Q74" s="1">
        <f>Transactions!I74</f>
        <v>45961</v>
      </c>
      <c r="R74">
        <f>IF(Transactions!O74&lt;&gt;0, Transactions!O74, Transactions!P74)</f>
        <v>-24.29</v>
      </c>
      <c r="S74" s="1">
        <f>Transactions!J74</f>
        <v>45983</v>
      </c>
      <c r="T74">
        <v>1</v>
      </c>
      <c r="V74" t="str">
        <f>Transactions!V74</f>
        <v>DVH SELECT $5,000 POL MAX WITH $100 DEDUCT</v>
      </c>
    </row>
    <row r="75" spans="1:22" x14ac:dyDescent="0.3">
      <c r="A75">
        <f>Transactions!B75</f>
        <v>1256642</v>
      </c>
      <c r="C75" t="str">
        <f>Transactions!F75</f>
        <v>MILLER, LEE</v>
      </c>
      <c r="D75" t="s">
        <v>22</v>
      </c>
      <c r="E75" t="s">
        <v>24</v>
      </c>
      <c r="F75" t="str">
        <f>Transactions!T75</f>
        <v>TX</v>
      </c>
      <c r="G75" t="str">
        <f>VLOOKUP(Transactions!V75, lookups!A:B, 2, 0)</f>
        <v>Dental with Vision</v>
      </c>
      <c r="H75" t="str">
        <f>VLOOKUP(Transactions!V75, lookups!A:C, 3, 0)</f>
        <v xml:space="preserve">Dental, Vision, Hearing &amp; Dental, Vision, Hearing Select </v>
      </c>
      <c r="I75" s="1">
        <f>Transactions!K75</f>
        <v>45955</v>
      </c>
      <c r="J75" s="1">
        <f>Transactions!K75</f>
        <v>45955</v>
      </c>
      <c r="L75" t="s">
        <v>23</v>
      </c>
      <c r="M75" t="s">
        <v>77</v>
      </c>
      <c r="N75" t="str">
        <f>Transactions!W75</f>
        <v>01VK5160000</v>
      </c>
      <c r="O75">
        <f>Transactions!M75</f>
        <v>44.85</v>
      </c>
      <c r="P75">
        <f>Transactions!M75</f>
        <v>44.85</v>
      </c>
      <c r="Q75" s="1">
        <f>Transactions!I75</f>
        <v>45959</v>
      </c>
      <c r="R75">
        <f>IF(Transactions!O75&lt;&gt;0, Transactions!O75, Transactions!P75)</f>
        <v>25.79</v>
      </c>
      <c r="S75" s="1">
        <f>Transactions!J75</f>
        <v>45986</v>
      </c>
      <c r="T75">
        <v>1</v>
      </c>
      <c r="V75" t="str">
        <f>Transactions!V75</f>
        <v>DVH SELECT $5,000 POL MAX WITH $0 DEDUCT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ADC0-C054-46C1-89E2-FDDA4E23B905}">
  <dimension ref="A1:C27"/>
  <sheetViews>
    <sheetView workbookViewId="0">
      <selection activeCell="B27" sqref="B27:C27"/>
    </sheetView>
  </sheetViews>
  <sheetFormatPr defaultRowHeight="14.4" x14ac:dyDescent="0.3"/>
  <cols>
    <col min="1" max="1" width="45.109375" customWidth="1"/>
    <col min="2" max="2" width="14.88671875" customWidth="1"/>
  </cols>
  <sheetData>
    <row r="1" spans="1:3" x14ac:dyDescent="0.3">
      <c r="A1" t="s">
        <v>25</v>
      </c>
      <c r="B1" s="2" t="s">
        <v>59</v>
      </c>
      <c r="C1" t="s">
        <v>61</v>
      </c>
    </row>
    <row r="2" spans="1:3" x14ac:dyDescent="0.3">
      <c r="A2" t="s">
        <v>26</v>
      </c>
      <c r="B2" s="2" t="s">
        <v>59</v>
      </c>
      <c r="C2" t="s">
        <v>61</v>
      </c>
    </row>
    <row r="3" spans="1:3" x14ac:dyDescent="0.3">
      <c r="A3" t="s">
        <v>47</v>
      </c>
      <c r="B3" t="s">
        <v>58</v>
      </c>
      <c r="C3" t="s">
        <v>60</v>
      </c>
    </row>
    <row r="4" spans="1:3" x14ac:dyDescent="0.3">
      <c r="A4" t="s">
        <v>49</v>
      </c>
      <c r="B4" s="2" t="s">
        <v>59</v>
      </c>
      <c r="C4" t="s">
        <v>61</v>
      </c>
    </row>
    <row r="5" spans="1:3" x14ac:dyDescent="0.3">
      <c r="A5" t="s">
        <v>52</v>
      </c>
      <c r="B5" s="2" t="s">
        <v>59</v>
      </c>
      <c r="C5" t="s">
        <v>61</v>
      </c>
    </row>
    <row r="6" spans="1:3" x14ac:dyDescent="0.3">
      <c r="A6" t="s">
        <v>54</v>
      </c>
      <c r="B6" s="2" t="s">
        <v>59</v>
      </c>
      <c r="C6" t="s">
        <v>61</v>
      </c>
    </row>
    <row r="7" spans="1:3" x14ac:dyDescent="0.3">
      <c r="A7" t="s">
        <v>55</v>
      </c>
      <c r="B7" s="2" t="s">
        <v>59</v>
      </c>
      <c r="C7" t="s">
        <v>61</v>
      </c>
    </row>
    <row r="8" spans="1:3" x14ac:dyDescent="0.3">
      <c r="A8" t="s">
        <v>56</v>
      </c>
      <c r="B8" s="2" t="s">
        <v>59</v>
      </c>
      <c r="C8" t="s">
        <v>61</v>
      </c>
    </row>
    <row r="9" spans="1:3" x14ac:dyDescent="0.3">
      <c r="A9" t="s">
        <v>57</v>
      </c>
      <c r="B9" s="2" t="s">
        <v>59</v>
      </c>
      <c r="C9" t="s">
        <v>61</v>
      </c>
    </row>
    <row r="10" spans="1:3" x14ac:dyDescent="0.3">
      <c r="A10" t="s">
        <v>64</v>
      </c>
      <c r="B10" s="2" t="s">
        <v>76</v>
      </c>
      <c r="C10" s="2" t="s">
        <v>75</v>
      </c>
    </row>
    <row r="11" spans="1:3" x14ac:dyDescent="0.3">
      <c r="A11" t="s">
        <v>67</v>
      </c>
      <c r="B11" t="s">
        <v>58</v>
      </c>
      <c r="C11" t="s">
        <v>60</v>
      </c>
    </row>
    <row r="12" spans="1:3" x14ac:dyDescent="0.3">
      <c r="A12" t="s">
        <v>78</v>
      </c>
      <c r="B12" s="2" t="s">
        <v>76</v>
      </c>
      <c r="C12" s="2" t="s">
        <v>75</v>
      </c>
    </row>
    <row r="13" spans="1:3" x14ac:dyDescent="0.3">
      <c r="A13" t="s">
        <v>80</v>
      </c>
      <c r="B13" t="s">
        <v>58</v>
      </c>
      <c r="C13" s="2" t="s">
        <v>97</v>
      </c>
    </row>
    <row r="14" spans="1:3" x14ac:dyDescent="0.3">
      <c r="A14" t="s">
        <v>81</v>
      </c>
      <c r="B14" s="2" t="s">
        <v>76</v>
      </c>
      <c r="C14" s="2" t="s">
        <v>75</v>
      </c>
    </row>
    <row r="15" spans="1:3" x14ac:dyDescent="0.3">
      <c r="A15" t="s">
        <v>82</v>
      </c>
      <c r="B15" s="2" t="s">
        <v>59</v>
      </c>
      <c r="C15" t="s">
        <v>61</v>
      </c>
    </row>
    <row r="16" spans="1:3" x14ac:dyDescent="0.3">
      <c r="A16" t="s">
        <v>83</v>
      </c>
      <c r="B16" t="s">
        <v>58</v>
      </c>
      <c r="C16" t="s">
        <v>60</v>
      </c>
    </row>
    <row r="17" spans="1:3" x14ac:dyDescent="0.3">
      <c r="A17" t="s">
        <v>84</v>
      </c>
      <c r="B17" t="s">
        <v>58</v>
      </c>
      <c r="C17" s="2" t="s">
        <v>97</v>
      </c>
    </row>
    <row r="18" spans="1:3" x14ac:dyDescent="0.3">
      <c r="A18" t="s">
        <v>87</v>
      </c>
      <c r="B18" s="2" t="s">
        <v>96</v>
      </c>
      <c r="C18" s="2" t="s">
        <v>95</v>
      </c>
    </row>
    <row r="19" spans="1:3" x14ac:dyDescent="0.3">
      <c r="A19" t="s">
        <v>88</v>
      </c>
      <c r="B19" s="2" t="s">
        <v>99</v>
      </c>
      <c r="C19" s="2" t="s">
        <v>98</v>
      </c>
    </row>
    <row r="20" spans="1:3" x14ac:dyDescent="0.3">
      <c r="A20" t="s">
        <v>89</v>
      </c>
      <c r="B20" s="2" t="s">
        <v>99</v>
      </c>
      <c r="C20" s="2" t="s">
        <v>98</v>
      </c>
    </row>
    <row r="21" spans="1:3" x14ac:dyDescent="0.3">
      <c r="A21" t="s">
        <v>92</v>
      </c>
      <c r="B21" s="2" t="s">
        <v>59</v>
      </c>
      <c r="C21" t="s">
        <v>61</v>
      </c>
    </row>
    <row r="22" spans="1:3" x14ac:dyDescent="0.3">
      <c r="A22" t="s">
        <v>105</v>
      </c>
      <c r="B22" s="2" t="s">
        <v>59</v>
      </c>
      <c r="C22" t="s">
        <v>61</v>
      </c>
    </row>
    <row r="23" spans="1:3" x14ac:dyDescent="0.3">
      <c r="A23" t="s">
        <v>122</v>
      </c>
      <c r="B23" s="2" t="s">
        <v>99</v>
      </c>
      <c r="C23" s="2" t="s">
        <v>129</v>
      </c>
    </row>
    <row r="24" spans="1:3" x14ac:dyDescent="0.3">
      <c r="A24" t="s">
        <v>123</v>
      </c>
      <c r="B24" t="s">
        <v>58</v>
      </c>
      <c r="C24" t="s">
        <v>60</v>
      </c>
    </row>
    <row r="25" spans="1:3" x14ac:dyDescent="0.3">
      <c r="A25" t="s">
        <v>124</v>
      </c>
      <c r="B25" s="2" t="s">
        <v>76</v>
      </c>
      <c r="C25" s="2" t="s">
        <v>75</v>
      </c>
    </row>
    <row r="26" spans="1:3" x14ac:dyDescent="0.3">
      <c r="A26" t="s">
        <v>127</v>
      </c>
      <c r="B26" s="2" t="s">
        <v>59</v>
      </c>
      <c r="C26" t="s">
        <v>61</v>
      </c>
    </row>
    <row r="27" spans="1:3" x14ac:dyDescent="0.3">
      <c r="A27" t="s">
        <v>139</v>
      </c>
      <c r="B27" s="2" t="s">
        <v>59</v>
      </c>
      <c r="C27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Policy And Transactions Templat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Kirschner</dc:creator>
  <cp:lastModifiedBy>Adam Kirschner</cp:lastModifiedBy>
  <dcterms:created xsi:type="dcterms:W3CDTF">2025-04-11T15:48:46Z</dcterms:created>
  <dcterms:modified xsi:type="dcterms:W3CDTF">2025-11-08T18:17:59Z</dcterms:modified>
</cp:coreProperties>
</file>